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'Pages'!$A$1:$O$145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374151"/>
        <bgColor rgb="FF333399"/>
      </patternFill>
    </fill>
    <fill>
      <patternFill patternType="solid">
        <fgColor rgb="FFE5E7EB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7415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0" min="1" max="1"/>
    <col width="26" customWidth="1" style="10" min="2" max="2"/>
    <col width="9" customWidth="1" style="10" min="3" max="3"/>
    <col width="34" customWidth="1" style="10" min="4" max="4"/>
    <col width="16" customWidth="1" style="10" min="5" max="5"/>
    <col width="52" customWidth="1" style="10" min="6" max="6"/>
    <col width="42" customWidth="1" style="10" min="7" max="7"/>
    <col width="13" customWidth="1" style="10" min="8" max="8"/>
    <col width="50" customWidth="1" style="10" min="9" max="9"/>
    <col width="13" customWidth="1" style="10" min="10" max="10"/>
    <col width="10" customWidth="1" style="10" min="11" max="12"/>
    <col width="15" customWidth="1" style="10" min="13" max="13"/>
    <col width="14" customWidth="1" style="10" min="14" max="14"/>
    <col width="12" customWidth="1" style="10" min="15" max="15"/>
  </cols>
  <sheetData>
    <row r="1" ht="23.85" customHeight="1" s="11">
      <c r="A1" s="12" t="inlineStr">
        <is>
          <t>Phase</t>
        </is>
      </c>
      <c r="B1" s="12" t="inlineStr">
        <is>
          <t>Module</t>
        </is>
      </c>
      <c r="C1" s="12" t="inlineStr">
        <is>
          <t>Section #</t>
        </is>
      </c>
      <c r="D1" s="12" t="inlineStr">
        <is>
          <t>Page name</t>
        </is>
      </c>
      <c r="E1" s="12" t="inlineStr">
        <is>
          <t>Page type</t>
        </is>
      </c>
      <c r="F1" s="12" t="inlineStr">
        <is>
          <t>URL</t>
        </is>
      </c>
      <c r="G1" s="12" t="inlineStr">
        <is>
          <t>SEO title</t>
        </is>
      </c>
      <c r="H1" s="12" t="inlineStr">
        <is>
          <t>SEO title done?</t>
        </is>
      </c>
      <c r="I1" s="12" t="inlineStr">
        <is>
          <t>SEO description</t>
        </is>
      </c>
      <c r="J1" s="12" t="inlineStr">
        <is>
          <t>SEO desc done?</t>
        </is>
      </c>
      <c r="K1" s="12" t="inlineStr">
        <is>
          <t>Title chars</t>
        </is>
      </c>
      <c r="L1" s="12" t="inlineStr">
        <is>
          <t>Desc chars</t>
        </is>
      </c>
      <c r="M1" s="12" t="inlineStr">
        <is>
          <t>Content created?</t>
        </is>
      </c>
      <c r="N1" s="12" t="inlineStr">
        <is>
          <t>Content QA'd?</t>
        </is>
      </c>
      <c r="O1" s="12" t="inlineStr">
        <is>
          <t>Final result</t>
        </is>
      </c>
    </row>
    <row r="2" ht="15" customHeight="1" s="11">
      <c r="A2" s="13" t="n"/>
      <c r="B2" s="13" t="n"/>
      <c r="C2" s="13" t="n"/>
      <c r="D2" s="13" t="inlineStr">
        <is>
          <t>Adobe Analytics Glossary</t>
        </is>
      </c>
      <c r="E2" s="13" t="inlineStr">
        <is>
          <t>Glossary</t>
        </is>
      </c>
      <c r="F2" s="13" t="inlineStr">
        <is>
          <t>/adobe-analytics-learning/glossary/</t>
        </is>
      </c>
      <c r="G2" s="13" t="inlineStr">
        <is>
          <t>Adobe Analytics Glossary of Terms</t>
        </is>
      </c>
      <c r="H2" s="13" t="inlineStr">
        <is>
          <t>Yes</t>
        </is>
      </c>
      <c r="I2" s="13" t="inlineStr">
        <is>
          <t>Plain-language definitions of Adobe Analytics terms: props, eVars, events, dimensions, metrics, segments, and the rest of the vocabulary.</t>
        </is>
      </c>
      <c r="J2" s="13" t="inlineStr">
        <is>
          <t>Yes</t>
        </is>
      </c>
      <c r="K2" s="13" t="n">
        <v>33</v>
      </c>
      <c r="L2" s="13" t="n">
        <v>137</v>
      </c>
      <c r="M2" s="13" t="inlineStr">
        <is>
          <t>No</t>
        </is>
      </c>
      <c r="N2" s="13" t="inlineStr">
        <is>
          <t>No</t>
        </is>
      </c>
      <c r="O2" s="13">
        <f>IF(AND(H2="Yes",J2="Yes",M2="Yes",N2="Yes"),"Yes","No")</f>
        <v/>
      </c>
    </row>
    <row r="3" ht="15" customHeight="1" s="11">
      <c r="A3" s="13" t="n"/>
      <c r="B3" s="13" t="n"/>
      <c r="C3" s="13" t="n"/>
      <c r="D3" s="13" t="inlineStr">
        <is>
          <t>Adobe Analytics Learning</t>
        </is>
      </c>
      <c r="E3" s="13" t="inlineStr">
        <is>
          <t>Home</t>
        </is>
      </c>
      <c r="F3" s="13" t="inlineStr">
        <is>
          <t>/adobe-analytics-learning/</t>
        </is>
      </c>
      <c r="G3" s="13" t="inlineStr">
        <is>
          <t>Adobe Analytics: A Practitioner's Learning Guide</t>
        </is>
      </c>
      <c r="H3" s="13" t="inlineStr">
        <is>
          <t>Yes</t>
        </is>
      </c>
      <c r="I3" s="13" t="inlineStr">
        <is>
          <t>A practitioner's guide to Adobe Analytics: not what the buttons do, but why the features exist, how they fit together, and where the traps are.</t>
        </is>
      </c>
      <c r="J3" s="13" t="inlineStr">
        <is>
          <t>Yes</t>
        </is>
      </c>
      <c r="K3" s="13" t="n">
        <v>48</v>
      </c>
      <c r="L3" s="13" t="n">
        <v>143</v>
      </c>
      <c r="M3" s="13" t="inlineStr">
        <is>
          <t>Yes</t>
        </is>
      </c>
      <c r="N3" s="13" t="inlineStr">
        <is>
          <t>Yes</t>
        </is>
      </c>
      <c r="O3" s="13">
        <f>IF(AND(H3="Yes",J3="Yes",M3="Yes",N3="Yes"),"Yes","No")</f>
        <v/>
      </c>
    </row>
    <row r="4" ht="15" customHeight="1" s="11">
      <c r="A4" s="13" t="inlineStr">
        <is>
          <t>Foundations</t>
        </is>
      </c>
      <c r="B4" s="13" t="n"/>
      <c r="C4" s="13" t="n"/>
      <c r="D4" s="13" t="inlineStr">
        <is>
          <t>Start with the foundations</t>
        </is>
      </c>
      <c r="E4" s="13" t="inlineStr">
        <is>
          <t>Category landing</t>
        </is>
      </c>
      <c r="F4" s="13" t="inlineStr">
        <is>
          <t>/adobe-analytics-learning/foundations/</t>
        </is>
      </c>
      <c r="G4" s="13" t="inlineStr">
        <is>
          <t>Adobe Analytics Foundations</t>
        </is>
      </c>
      <c r="H4" s="13" t="inlineStr">
        <is>
          <t>Yes</t>
        </is>
      </c>
      <c r="I4" s="13" t="inlineStr">
        <is>
          <t>What Adobe Analytics is, where its data lands, and which variables carry that data. Everything later in this curriculum rests on these three.</t>
        </is>
      </c>
      <c r="J4" s="13" t="inlineStr">
        <is>
          <t>Yes</t>
        </is>
      </c>
      <c r="K4" s="13" t="n">
        <v>27</v>
      </c>
      <c r="L4" s="13" t="n">
        <v>141</v>
      </c>
      <c r="M4" s="13" t="inlineStr">
        <is>
          <t>No</t>
        </is>
      </c>
      <c r="N4" s="13" t="inlineStr">
        <is>
          <t>No</t>
        </is>
      </c>
      <c r="O4" s="13">
        <f>IF(AND(H4="Yes",J4="Yes",M4="Yes",N4="Yes"),"Yes","No")</f>
        <v/>
      </c>
    </row>
    <row r="5" ht="15" customHeight="1" s="11">
      <c r="A5" s="13" t="inlineStr">
        <is>
          <t>Foundations</t>
        </is>
      </c>
      <c r="B5" s="13" t="inlineStr">
        <is>
          <t>adobe-analytics-fundamentals</t>
        </is>
      </c>
      <c r="C5" s="13" t="n"/>
      <c r="D5" s="13" t="inlineStr">
        <is>
          <t>Adobe Analytics Fundamentals</t>
        </is>
      </c>
      <c r="E5" s="13" t="inlineStr">
        <is>
          <t>Module landing</t>
        </is>
      </c>
      <c r="F5" s="13" t="inlineStr">
        <is>
          <t>/adobe-analytics-learning/foundations/adobe-analytics-fundamentals/</t>
        </is>
      </c>
      <c r="G5" s="13" t="inlineStr">
        <is>
          <t>Adobe Analytics Fundamentals</t>
        </is>
      </c>
      <c r="H5" s="13" t="inlineStr">
        <is>
          <t>Yes</t>
        </is>
      </c>
      <c r="I5" s="13" t="inlineStr">
        <is>
          <t>What Adobe Analytics actually is, why it exists when you already have server logs and a CRM, and how the pieces fit together.</t>
        </is>
      </c>
      <c r="J5" s="13" t="inlineStr">
        <is>
          <t>Yes</t>
        </is>
      </c>
      <c r="K5" s="13" t="n">
        <v>28</v>
      </c>
      <c r="L5" s="13" t="n">
        <v>125</v>
      </c>
      <c r="M5" s="13" t="inlineStr">
        <is>
          <t>No</t>
        </is>
      </c>
      <c r="N5" s="13" t="inlineStr">
        <is>
          <t>No</t>
        </is>
      </c>
      <c r="O5" s="13">
        <f>IF(AND(H5="Yes",J5="Yes",M5="Yes",N5="Yes"),"Yes","No")</f>
        <v/>
      </c>
    </row>
    <row r="6" ht="15" customHeight="1" s="11">
      <c r="A6" s="13" t="inlineStr">
        <is>
          <t>Foundations</t>
        </is>
      </c>
      <c r="B6" s="13" t="inlineStr">
        <is>
          <t>adobe-analytics-fundamentals</t>
        </is>
      </c>
      <c r="C6" s="13" t="n">
        <v>1</v>
      </c>
      <c r="D6" s="13" t="inlineStr">
        <is>
          <t>What Is Adobe Analytics</t>
        </is>
      </c>
      <c r="E6" s="13" t="inlineStr">
        <is>
          <t>Section</t>
        </is>
      </c>
      <c r="F6" s="13" t="inlineStr">
        <is>
          <t>/adobe-analytics-learning/foundations/adobe-analytics-fundamentals/what-is-adobe-analytics/</t>
        </is>
      </c>
      <c r="G6" s="13" t="inlineStr">
        <is>
          <t>What Is Adobe Analytics? A Practitioner's Introduction</t>
        </is>
      </c>
      <c r="H6" s="13" t="inlineStr">
        <is>
          <t>Yes</t>
        </is>
      </c>
      <c r="I6" s="13" t="inlineStr">
        <is>
          <t>What Adobe Analytics is, why it exists when you already have server logs and a CRM, and what it actually does for you.</t>
        </is>
      </c>
      <c r="J6" s="13" t="inlineStr">
        <is>
          <t>Yes</t>
        </is>
      </c>
      <c r="K6" s="13" t="n">
        <v>54</v>
      </c>
      <c r="L6" s="13" t="n">
        <v>118</v>
      </c>
      <c r="M6" s="13" t="inlineStr">
        <is>
          <t>Yes</t>
        </is>
      </c>
      <c r="N6" s="13" t="inlineStr">
        <is>
          <t>Yes</t>
        </is>
      </c>
      <c r="O6" s="13">
        <f>IF(AND(H6="Yes",J6="Yes",M6="Yes",N6="Yes"),"Yes","No")</f>
        <v/>
      </c>
    </row>
    <row r="7" ht="15" customHeight="1" s="11">
      <c r="A7" s="13" t="inlineStr">
        <is>
          <t>Foundations</t>
        </is>
      </c>
      <c r="B7" s="13" t="inlineStr">
        <is>
          <t>adobe-analytics-fundamentals</t>
        </is>
      </c>
      <c r="C7" s="13" t="n">
        <v>2</v>
      </c>
      <c r="D7" s="13" t="inlineStr">
        <is>
          <t>Adobe Analytics Ecosystem</t>
        </is>
      </c>
      <c r="E7" s="13" t="inlineStr">
        <is>
          <t>Section</t>
        </is>
      </c>
      <c r="F7" s="13" t="inlineStr">
        <is>
          <t>/adobe-analytics-learning/foundations/adobe-analytics-fundamentals/adobe-analytics-ecosystem/</t>
        </is>
      </c>
      <c r="G7" s="13" t="inlineStr">
        <is>
          <t>The Adobe Analytics Ecosystem Explained</t>
        </is>
      </c>
      <c r="H7" s="13" t="inlineStr">
        <is>
          <t>Yes</t>
        </is>
      </c>
      <c r="I7" s="13" t="inlineStr">
        <is>
          <t>Adobe Analytics is not one tool but an ecosystem. What each piece does, which two you meet first, and how they fit together.</t>
        </is>
      </c>
      <c r="J7" s="13" t="inlineStr">
        <is>
          <t>Yes</t>
        </is>
      </c>
      <c r="K7" s="13" t="n">
        <v>39</v>
      </c>
      <c r="L7" s="13" t="n">
        <v>124</v>
      </c>
      <c r="M7" s="13" t="inlineStr">
        <is>
          <t>Yes</t>
        </is>
      </c>
      <c r="N7" s="13" t="inlineStr">
        <is>
          <t>Yes</t>
        </is>
      </c>
      <c r="O7" s="13">
        <f>IF(AND(H7="Yes",J7="Yes",M7="Yes",N7="Yes"),"Yes","No")</f>
        <v/>
      </c>
    </row>
    <row r="8" ht="15" customHeight="1" s="11">
      <c r="A8" s="13" t="inlineStr">
        <is>
          <t>Foundations</t>
        </is>
      </c>
      <c r="B8" s="13" t="inlineStr">
        <is>
          <t>adobe-analytics-fundamentals</t>
        </is>
      </c>
      <c r="C8" s="13" t="n">
        <v>3</v>
      </c>
      <c r="D8" s="13" t="inlineStr">
        <is>
          <t>Key Terminology</t>
        </is>
      </c>
      <c r="E8" s="13" t="inlineStr">
        <is>
          <t>Section</t>
        </is>
      </c>
      <c r="F8" s="13" t="inlineStr">
        <is>
          <t>/adobe-analytics-learning/foundations/adobe-analytics-fundamentals/key-terminology/</t>
        </is>
      </c>
      <c r="G8" s="13" t="inlineStr">
        <is>
          <t>Adobe Analytics Terminology: Dimensions, Metrics, eVars</t>
        </is>
      </c>
      <c r="H8" s="13" t="inlineStr">
        <is>
          <t>Yes</t>
        </is>
      </c>
      <c r="I8" s="13" t="inlineStr">
        <is>
          <t>Dimensions, metrics, hits, visits, and visitors. The vocabulary you need first, and the eVar-versus-prop distinction that people consistently get wrong.</t>
        </is>
      </c>
      <c r="J8" s="13" t="inlineStr">
        <is>
          <t>Yes</t>
        </is>
      </c>
      <c r="K8" s="13" t="n">
        <v>55</v>
      </c>
      <c r="L8" s="13" t="n">
        <v>152</v>
      </c>
      <c r="M8" s="13" t="inlineStr">
        <is>
          <t>Yes</t>
        </is>
      </c>
      <c r="N8" s="13" t="inlineStr">
        <is>
          <t>Yes</t>
        </is>
      </c>
      <c r="O8" s="13">
        <f>IF(AND(H8="Yes",J8="Yes",M8="Yes",N8="Yes"),"Yes","No")</f>
        <v/>
      </c>
    </row>
    <row r="9" ht="15" customHeight="1" s="11">
      <c r="A9" s="13" t="inlineStr">
        <is>
          <t>Foundations</t>
        </is>
      </c>
      <c r="B9" s="13" t="inlineStr">
        <is>
          <t>adobe-analytics-fundamentals</t>
        </is>
      </c>
      <c r="C9" s="13" t="n">
        <v>4</v>
      </c>
      <c r="D9" s="13" t="inlineStr">
        <is>
          <t>Adobe Analytics vs Google Analytics</t>
        </is>
      </c>
      <c r="E9" s="13" t="inlineStr">
        <is>
          <t>Section</t>
        </is>
      </c>
      <c r="F9" s="13" t="inlineStr">
        <is>
          <t>/adobe-analytics-learning/foundations/adobe-analytics-fundamentals/adobe-analytics-vs-google-analytics/</t>
        </is>
      </c>
      <c r="G9" s="13" t="inlineStr">
        <is>
          <t>Adobe Analytics vs Google Analytics Compared</t>
        </is>
      </c>
      <c r="H9" s="13" t="inlineStr">
        <is>
          <t>Yes</t>
        </is>
      </c>
      <c r="I9" s="13" t="inlineStr">
        <is>
          <t>How Adobe Analytics compares with Google Analytics and the rest of the market, and the data model difference that drives every other difference.</t>
        </is>
      </c>
      <c r="J9" s="13" t="inlineStr">
        <is>
          <t>Yes</t>
        </is>
      </c>
      <c r="K9" s="13" t="n">
        <v>44</v>
      </c>
      <c r="L9" s="13" t="n">
        <v>144</v>
      </c>
      <c r="M9" s="13" t="inlineStr">
        <is>
          <t>Yes</t>
        </is>
      </c>
      <c r="N9" s="13" t="inlineStr">
        <is>
          <t>Yes</t>
        </is>
      </c>
      <c r="O9" s="13">
        <f>IF(AND(H9="Yes",J9="Yes",M9="Yes",N9="Yes"),"Yes","No")</f>
        <v/>
      </c>
    </row>
    <row r="10" ht="15" customHeight="1" s="11">
      <c r="A10" s="13" t="inlineStr">
        <is>
          <t>Foundations</t>
        </is>
      </c>
      <c r="B10" s="13" t="inlineStr">
        <is>
          <t>adobe-analytics-fundamentals</t>
        </is>
      </c>
      <c r="C10" s="13" t="n">
        <v>5</v>
      </c>
      <c r="D10" s="13" t="inlineStr">
        <is>
          <t>Account Structure and Access</t>
        </is>
      </c>
      <c r="E10" s="13" t="inlineStr">
        <is>
          <t>Section</t>
        </is>
      </c>
      <c r="F10" s="13" t="inlineStr">
        <is>
          <t>/adobe-analytics-learning/foundations/adobe-analytics-fundamentals/account-structure-access/</t>
        </is>
      </c>
      <c r="G10" s="13" t="inlineStr">
        <is>
          <t>Adobe Analytics Account Structure and Access</t>
        </is>
      </c>
      <c r="H10" s="13" t="inlineStr">
        <is>
          <t>Yes</t>
        </is>
      </c>
      <c r="I10" s="13" t="inlineStr">
        <is>
          <t>Organizations, product profiles, and permissions. How access is really controlled in Adobe Analytics, and what a product profile actually governs.</t>
        </is>
      </c>
      <c r="J10" s="13" t="inlineStr">
        <is>
          <t>Yes</t>
        </is>
      </c>
      <c r="K10" s="13" t="n">
        <v>44</v>
      </c>
      <c r="L10" s="13" t="n">
        <v>146</v>
      </c>
      <c r="M10" s="13" t="inlineStr">
        <is>
          <t>Yes</t>
        </is>
      </c>
      <c r="N10" s="13" t="inlineStr">
        <is>
          <t>Yes</t>
        </is>
      </c>
      <c r="O10" s="13">
        <f>IF(AND(H10="Yes",J10="Yes",M10="Yes",N10="Yes"),"Yes","No")</f>
        <v/>
      </c>
    </row>
    <row r="11" ht="15" customHeight="1" s="11">
      <c r="A11" s="13" t="inlineStr">
        <is>
          <t>Foundations</t>
        </is>
      </c>
      <c r="B11" s="13" t="inlineStr">
        <is>
          <t>report-suites</t>
        </is>
      </c>
      <c r="C11" s="13" t="n"/>
      <c r="D11" s="13" t="inlineStr">
        <is>
          <t>Report Suites</t>
        </is>
      </c>
      <c r="E11" s="13" t="inlineStr">
        <is>
          <t>Module landing</t>
        </is>
      </c>
      <c r="F11" s="13" t="inlineStr">
        <is>
          <t>/adobe-analytics-learning/foundations/report-suites/</t>
        </is>
      </c>
      <c r="G11" s="13" t="inlineStr">
        <is>
          <t>Report Suites in Adobe Analytics</t>
        </is>
      </c>
      <c r="H11" s="13" t="inlineStr">
        <is>
          <t>Yes</t>
        </is>
      </c>
      <c r="I11" s="13" t="inlineStr">
        <is>
          <t>Report suites are the boxes your data lands in. How many you need, how to configure them, and the choices you cannot undo later.</t>
        </is>
      </c>
      <c r="J11" s="13" t="inlineStr">
        <is>
          <t>Yes</t>
        </is>
      </c>
      <c r="K11" s="13" t="n">
        <v>32</v>
      </c>
      <c r="L11" s="13" t="n">
        <v>128</v>
      </c>
      <c r="M11" s="13" t="inlineStr">
        <is>
          <t>No</t>
        </is>
      </c>
      <c r="N11" s="13" t="inlineStr">
        <is>
          <t>No</t>
        </is>
      </c>
      <c r="O11" s="13">
        <f>IF(AND(H11="Yes",J11="Yes",M11="Yes",N11="Yes"),"Yes","No")</f>
        <v/>
      </c>
    </row>
    <row r="12" ht="15" customHeight="1" s="11">
      <c r="A12" s="13" t="inlineStr">
        <is>
          <t>Foundations</t>
        </is>
      </c>
      <c r="B12" s="13" t="inlineStr">
        <is>
          <t>report-suites</t>
        </is>
      </c>
      <c r="C12" s="13" t="n">
        <v>1</v>
      </c>
      <c r="D12" s="13" t="inlineStr">
        <is>
          <t>What Are Report Suites</t>
        </is>
      </c>
      <c r="E12" s="13" t="inlineStr">
        <is>
          <t>Section</t>
        </is>
      </c>
      <c r="F12" s="13" t="inlineStr">
        <is>
          <t>/adobe-analytics-learning/foundations/report-suites/what-are-report-suites/</t>
        </is>
      </c>
      <c r="G12" s="13" t="inlineStr">
        <is>
          <t>What Are Report Suites in Adobe Analytics?</t>
        </is>
      </c>
      <c r="H12" s="13" t="inlineStr">
        <is>
          <t>Yes</t>
        </is>
      </c>
      <c r="I12" s="13" t="inlineStr">
        <is>
          <t>What a report suite is, what defines one, and the first architectural question every implementation has to answer: how many boxes do you need?</t>
        </is>
      </c>
      <c r="J12" s="13" t="inlineStr">
        <is>
          <t>Yes</t>
        </is>
      </c>
      <c r="K12" s="13" t="n">
        <v>42</v>
      </c>
      <c r="L12" s="13" t="n">
        <v>142</v>
      </c>
      <c r="M12" s="13" t="inlineStr">
        <is>
          <t>Yes</t>
        </is>
      </c>
      <c r="N12" s="13" t="inlineStr">
        <is>
          <t>Yes</t>
        </is>
      </c>
      <c r="O12" s="13">
        <f>IF(AND(H12="Yes",J12="Yes",M12="Yes",N12="Yes"),"Yes","No")</f>
        <v/>
      </c>
    </row>
    <row r="13" ht="15" customHeight="1" s="11">
      <c r="A13" s="13" t="inlineStr">
        <is>
          <t>Foundations</t>
        </is>
      </c>
      <c r="B13" s="13" t="inlineStr">
        <is>
          <t>report-suites</t>
        </is>
      </c>
      <c r="C13" s="13" t="n">
        <v>2</v>
      </c>
      <c r="D13" s="13" t="inlineStr">
        <is>
          <t>Global vs Individual Report Suites</t>
        </is>
      </c>
      <c r="E13" s="13" t="inlineStr">
        <is>
          <t>Section</t>
        </is>
      </c>
      <c r="F13" s="13" t="inlineStr">
        <is>
          <t>/adobe-analytics-learning/foundations/report-suites/global-vs-individual-report-suites/</t>
        </is>
      </c>
      <c r="G13" s="13" t="inlineStr">
        <is>
          <t>Global vs Individual Report Suites</t>
        </is>
      </c>
      <c r="H13" s="13" t="inlineStr">
        <is>
          <t>Yes</t>
        </is>
      </c>
      <c r="I13" s="13" t="inlineStr">
        <is>
          <t>One global report suite, or a separate suite per business unit? The trade-offs, and how to give every team its own view without splitting the archive.</t>
        </is>
      </c>
      <c r="J13" s="13" t="inlineStr">
        <is>
          <t>Yes</t>
        </is>
      </c>
      <c r="K13" s="13" t="n">
        <v>34</v>
      </c>
      <c r="L13" s="13" t="n">
        <v>150</v>
      </c>
      <c r="M13" s="13" t="inlineStr">
        <is>
          <t>Yes</t>
        </is>
      </c>
      <c r="N13" s="13" t="inlineStr">
        <is>
          <t>Yes</t>
        </is>
      </c>
      <c r="O13" s="13">
        <f>IF(AND(H13="Yes",J13="Yes",M13="Yes",N13="Yes"),"Yes","No")</f>
        <v/>
      </c>
    </row>
    <row r="14" ht="15" customHeight="1" s="11">
      <c r="A14" s="13" t="inlineStr">
        <is>
          <t>Foundations</t>
        </is>
      </c>
      <c r="B14" s="13" t="inlineStr">
        <is>
          <t>report-suites</t>
        </is>
      </c>
      <c r="C14" s="13" t="n">
        <v>3</v>
      </c>
      <c r="D14" s="13" t="inlineStr">
        <is>
          <t>Virtual Report Suites</t>
        </is>
      </c>
      <c r="E14" s="13" t="inlineStr">
        <is>
          <t>Section</t>
        </is>
      </c>
      <c r="F14" s="13" t="inlineStr">
        <is>
          <t>/adobe-analytics-learning/foundations/report-suites/virtual-report-suites/</t>
        </is>
      </c>
      <c r="G14" s="13" t="inlineStr">
        <is>
          <t>Virtual Report Suites (VRS) in Adobe Analytics</t>
        </is>
      </c>
      <c r="H14" s="13" t="inlineStr">
        <is>
          <t>Yes</t>
        </is>
      </c>
      <c r="I14" s="13" t="inlineStr">
        <is>
          <t>Virtual report suites are database views for your analytics data. One suite, one differentiator, many views, and what a VRS lets you do.</t>
        </is>
      </c>
      <c r="J14" s="13" t="inlineStr">
        <is>
          <t>Yes</t>
        </is>
      </c>
      <c r="K14" s="13" t="n">
        <v>46</v>
      </c>
      <c r="L14" s="13" t="n">
        <v>136</v>
      </c>
      <c r="M14" s="13" t="inlineStr">
        <is>
          <t>Yes</t>
        </is>
      </c>
      <c r="N14" s="13" t="inlineStr">
        <is>
          <t>Yes</t>
        </is>
      </c>
      <c r="O14" s="13">
        <f>IF(AND(H14="Yes",J14="Yes",M14="Yes",N14="Yes"),"Yes","No")</f>
        <v/>
      </c>
    </row>
    <row r="15" ht="15" customHeight="1" s="11">
      <c r="A15" s="13" t="inlineStr">
        <is>
          <t>Foundations</t>
        </is>
      </c>
      <c r="B15" s="13" t="inlineStr">
        <is>
          <t>report-suites</t>
        </is>
      </c>
      <c r="C15" s="13" t="n">
        <v>4</v>
      </c>
      <c r="D15" s="13" t="inlineStr">
        <is>
          <t>Report Suite Settings</t>
        </is>
      </c>
      <c r="E15" s="13" t="inlineStr">
        <is>
          <t>Section</t>
        </is>
      </c>
      <c r="F15" s="13" t="inlineStr">
        <is>
          <t>/adobe-analytics-learning/foundations/report-suites/report-suite-settings/</t>
        </is>
      </c>
      <c r="G15" s="13" t="inlineStr">
        <is>
          <t>Adobe Analytics Report Suite Settings</t>
        </is>
      </c>
      <c r="H15" s="13" t="inlineStr">
        <is>
          <t>Yes</t>
        </is>
      </c>
      <c r="I15" s="13" t="inlineStr">
        <is>
          <t>The report suite settings panel, explained: general account settings, internal URL filters, bot rules, and the data-quality foundation underneath them.</t>
        </is>
      </c>
      <c r="J15" s="13" t="inlineStr">
        <is>
          <t>Yes</t>
        </is>
      </c>
      <c r="K15" s="13" t="n">
        <v>37</v>
      </c>
      <c r="L15" s="13" t="n">
        <v>151</v>
      </c>
      <c r="M15" s="13" t="inlineStr">
        <is>
          <t>Yes</t>
        </is>
      </c>
      <c r="N15" s="13" t="inlineStr">
        <is>
          <t>Yes</t>
        </is>
      </c>
      <c r="O15" s="13">
        <f>IF(AND(H15="Yes",J15="Yes",M15="Yes",N15="Yes"),"Yes","No")</f>
        <v/>
      </c>
    </row>
    <row r="16" ht="15" customHeight="1" s="11">
      <c r="A16" s="13" t="inlineStr">
        <is>
          <t>Foundations</t>
        </is>
      </c>
      <c r="B16" s="13" t="inlineStr">
        <is>
          <t>report-suites</t>
        </is>
      </c>
      <c r="C16" s="13" t="n">
        <v>5</v>
      </c>
      <c r="D16" s="13" t="inlineStr">
        <is>
          <t>Multi-Suite Tagging</t>
        </is>
      </c>
      <c r="E16" s="13" t="inlineStr">
        <is>
          <t>Section</t>
        </is>
      </c>
      <c r="F16" s="13" t="inlineStr">
        <is>
          <t>/adobe-analytics-learning/foundations/report-suites/multi-suite-tagging/</t>
        </is>
      </c>
      <c r="G16" s="13" t="inlineStr">
        <is>
          <t>Multi-Suite Tagging in Adobe Analytics</t>
        </is>
      </c>
      <c r="H16" s="13" t="inlineStr">
        <is>
          <t>Yes</t>
        </is>
      </c>
      <c r="I16" s="13" t="inlineStr">
        <is>
          <t>Sending one hit to several report suites at once. When multi-suite tagging is right, when a virtual report suite is cheaper, and how to choose.</t>
        </is>
      </c>
      <c r="J16" s="13" t="inlineStr">
        <is>
          <t>Yes</t>
        </is>
      </c>
      <c r="K16" s="13" t="n">
        <v>38</v>
      </c>
      <c r="L16" s="13" t="n">
        <v>143</v>
      </c>
      <c r="M16" s="13" t="inlineStr">
        <is>
          <t>Yes</t>
        </is>
      </c>
      <c r="N16" s="13" t="inlineStr">
        <is>
          <t>Yes</t>
        </is>
      </c>
      <c r="O16" s="13">
        <f>IF(AND(H16="Yes",J16="Yes",M16="Yes",N16="Yes"),"Yes","No")</f>
        <v/>
      </c>
    </row>
    <row r="17" ht="15" customHeight="1" s="11">
      <c r="A17" s="13" t="inlineStr">
        <is>
          <t>Foundations</t>
        </is>
      </c>
      <c r="B17" s="13" t="inlineStr">
        <is>
          <t>report-suites</t>
        </is>
      </c>
      <c r="C17" s="13" t="n">
        <v>6</v>
      </c>
      <c r="D17" s="13" t="inlineStr">
        <is>
          <t>Bot Filtering</t>
        </is>
      </c>
      <c r="E17" s="13" t="inlineStr">
        <is>
          <t>Section</t>
        </is>
      </c>
      <c r="F17" s="13" t="inlineStr">
        <is>
          <t>/adobe-analytics-learning/foundations/report-suites/bot-filtering/</t>
        </is>
      </c>
      <c r="G17" s="13" t="inlineStr">
        <is>
          <t>Bot Filtering in Adobe Analytics</t>
        </is>
      </c>
      <c r="H17" s="13" t="inlineStr">
        <is>
          <t>Yes</t>
        </is>
      </c>
      <c r="I17" s="13" t="inlineStr">
        <is>
          <t>How Adobe Analytics removes automated, non-human traffic before it is counted: the IAB bot list, custom bot rules, and what filtering does and does not clean.</t>
        </is>
      </c>
      <c r="J17" s="13" t="inlineStr">
        <is>
          <t>Yes</t>
        </is>
      </c>
      <c r="K17" s="13" t="n">
        <v>32</v>
      </c>
      <c r="L17" s="13" t="n">
        <v>158</v>
      </c>
      <c r="M17" s="13" t="inlineStr">
        <is>
          <t>No</t>
        </is>
      </c>
      <c r="N17" s="13" t="inlineStr">
        <is>
          <t>No</t>
        </is>
      </c>
      <c r="O17" s="13">
        <f>IF(AND(H17="Yes",J17="Yes",M17="Yes",N17="Yes"),"Yes","No")</f>
        <v/>
      </c>
    </row>
    <row r="18" ht="15" customHeight="1" s="11">
      <c r="A18" s="13" t="inlineStr">
        <is>
          <t>Foundations</t>
        </is>
      </c>
      <c r="B18" s="13" t="inlineStr">
        <is>
          <t>report-suites</t>
        </is>
      </c>
      <c r="C18" s="13" t="n">
        <v>7</v>
      </c>
      <c r="D18" s="13" t="inlineStr">
        <is>
          <t>Privacy and Data Retention</t>
        </is>
      </c>
      <c r="E18" s="13" t="inlineStr">
        <is>
          <t>Section</t>
        </is>
      </c>
      <c r="F18" s="13" t="inlineStr">
        <is>
          <t>/adobe-analytics-learning/foundations/report-suites/privacy-data-retention/</t>
        </is>
      </c>
      <c r="G18" s="13" t="inlineStr">
        <is>
          <t>Privacy and Data Retention in Adobe Analytics</t>
        </is>
      </c>
      <c r="H18" s="13" t="inlineStr">
        <is>
          <t>Yes</t>
        </is>
      </c>
      <c r="I18" s="13" t="inlineStr">
        <is>
          <t>How Adobe Analytics governs personal data: data retention periods, IP obfuscation, and the labeling that supports GDPR and CCPA compliance.</t>
        </is>
      </c>
      <c r="J18" s="13" t="inlineStr">
        <is>
          <t>Yes</t>
        </is>
      </c>
      <c r="K18" s="13" t="n">
        <v>45</v>
      </c>
      <c r="L18" s="13" t="n">
        <v>139</v>
      </c>
      <c r="M18" s="13" t="inlineStr">
        <is>
          <t>No</t>
        </is>
      </c>
      <c r="N18" s="13" t="inlineStr">
        <is>
          <t>No</t>
        </is>
      </c>
      <c r="O18" s="13">
        <f>IF(AND(H18="Yes",J18="Yes",M18="Yes",N18="Yes"),"Yes","No")</f>
        <v/>
      </c>
    </row>
    <row r="19" ht="15" customHeight="1" s="11">
      <c r="A19" s="13" t="inlineStr">
        <is>
          <t>Foundations</t>
        </is>
      </c>
      <c r="B19" s="13" t="inlineStr">
        <is>
          <t>report-suites</t>
        </is>
      </c>
      <c r="C19" s="13" t="n">
        <v>8</v>
      </c>
      <c r="D19" s="13" t="inlineStr">
        <is>
          <t>Report Suite Best Practices</t>
        </is>
      </c>
      <c r="E19" s="13" t="inlineStr">
        <is>
          <t>Section</t>
        </is>
      </c>
      <c r="F19" s="13" t="inlineStr">
        <is>
          <t>/adobe-analytics-learning/foundations/report-suites/best-practices/</t>
        </is>
      </c>
      <c r="G19" s="13" t="inlineStr">
        <is>
          <t>Report Suite Best Practices in Adobe Analytics</t>
        </is>
      </c>
      <c r="H19" s="13" t="inlineStr">
        <is>
          <t>Yes</t>
        </is>
      </c>
      <c r="I19" s="13" t="inlineStr">
        <is>
          <t>Naming conventions, mirrored production and non-production suites, foundational variables before go-live, and why documentation is the organization's decision.</t>
        </is>
      </c>
      <c r="J19" s="13" t="inlineStr">
        <is>
          <t>Yes</t>
        </is>
      </c>
      <c r="K19" s="13" t="n">
        <v>46</v>
      </c>
      <c r="L19" s="13" t="n">
        <v>159</v>
      </c>
      <c r="M19" s="13" t="inlineStr">
        <is>
          <t>Yes</t>
        </is>
      </c>
      <c r="N19" s="13" t="inlineStr">
        <is>
          <t>Yes</t>
        </is>
      </c>
      <c r="O19" s="13">
        <f>IF(AND(H19="Yes",J19="Yes",M19="Yes",N19="Yes"),"Yes","No")</f>
        <v/>
      </c>
    </row>
    <row r="20" ht="15" customHeight="1" s="11">
      <c r="A20" s="13" t="inlineStr">
        <is>
          <t>Foundations</t>
        </is>
      </c>
      <c r="B20" s="13" t="inlineStr">
        <is>
          <t>variables</t>
        </is>
      </c>
      <c r="C20" s="13" t="n"/>
      <c r="D20" s="13" t="inlineStr">
        <is>
          <t>Variables: Props, eVars, and Events</t>
        </is>
      </c>
      <c r="E20" s="13" t="inlineStr">
        <is>
          <t>Module landing</t>
        </is>
      </c>
      <c r="F20" s="13" t="inlineStr">
        <is>
          <t>/adobe-analytics-learning/foundations/variables/</t>
        </is>
      </c>
      <c r="G20" s="13" t="inlineStr">
        <is>
          <t>Adobe Analytics Variables: Props, eVars, Events</t>
        </is>
      </c>
      <c r="H20" s="13" t="inlineStr">
        <is>
          <t>Yes</t>
        </is>
      </c>
      <c r="I20" s="13" t="inlineStr">
        <is>
          <t>Props, eVars, events, the products string, and list variables. What each one is for, and the traps that quietly corrupt your data.</t>
        </is>
      </c>
      <c r="J20" s="13" t="inlineStr">
        <is>
          <t>Yes</t>
        </is>
      </c>
      <c r="K20" s="13" t="n">
        <v>47</v>
      </c>
      <c r="L20" s="13" t="n">
        <v>130</v>
      </c>
      <c r="M20" s="13" t="inlineStr">
        <is>
          <t>No</t>
        </is>
      </c>
      <c r="N20" s="13" t="inlineStr">
        <is>
          <t>No</t>
        </is>
      </c>
      <c r="O20" s="13">
        <f>IF(AND(H20="Yes",J20="Yes",M20="Yes",N20="Yes"),"Yes","No")</f>
        <v/>
      </c>
    </row>
    <row r="21" ht="15" customHeight="1" s="11">
      <c r="A21" s="13" t="inlineStr">
        <is>
          <t>Foundations</t>
        </is>
      </c>
      <c r="B21" s="13" t="inlineStr">
        <is>
          <t>variables</t>
        </is>
      </c>
      <c r="C21" s="13" t="n">
        <v>1</v>
      </c>
      <c r="D21" s="13" t="inlineStr">
        <is>
          <t>Props (Traffic Variables)</t>
        </is>
      </c>
      <c r="E21" s="13" t="inlineStr">
        <is>
          <t>Section</t>
        </is>
      </c>
      <c r="F21" s="13" t="inlineStr">
        <is>
          <t>/adobe-analytics-learning/foundations/variables/props-traffic-variables/</t>
        </is>
      </c>
      <c r="G21" s="13" t="inlineStr">
        <is>
          <t>Props (Traffic Variables) in Adobe Analytics</t>
        </is>
      </c>
      <c r="H21" s="13" t="inlineStr">
        <is>
          <t>Yes</t>
        </is>
      </c>
      <c r="I21" s="13" t="inlineStr">
        <is>
          <t>Props are traffic variables, written in pencil. What they are for, their capacity and limits, and the two jobs they are quietly better at than eVars.</t>
        </is>
      </c>
      <c r="J21" s="13" t="inlineStr">
        <is>
          <t>Yes</t>
        </is>
      </c>
      <c r="K21" s="13" t="n">
        <v>44</v>
      </c>
      <c r="L21" s="13" t="n">
        <v>149</v>
      </c>
      <c r="M21" s="13" t="inlineStr">
        <is>
          <t>Yes</t>
        </is>
      </c>
      <c r="N21" s="13" t="inlineStr">
        <is>
          <t>Yes</t>
        </is>
      </c>
      <c r="O21" s="13">
        <f>IF(AND(H21="Yes",J21="Yes",M21="Yes",N21="Yes"),"Yes","No")</f>
        <v/>
      </c>
    </row>
    <row r="22" ht="15" customHeight="1" s="11">
      <c r="A22" s="13" t="inlineStr">
        <is>
          <t>Foundations</t>
        </is>
      </c>
      <c r="B22" s="13" t="inlineStr">
        <is>
          <t>variables</t>
        </is>
      </c>
      <c r="C22" s="13" t="n">
        <v>2</v>
      </c>
      <c r="D22" s="13" t="inlineStr">
        <is>
          <t>eVars (Conversion Variables)</t>
        </is>
      </c>
      <c r="E22" s="13" t="inlineStr">
        <is>
          <t>Section</t>
        </is>
      </c>
      <c r="F22" s="13" t="inlineStr">
        <is>
          <t>/adobe-analytics-learning/foundations/variables/evars-conversion-variables/</t>
        </is>
      </c>
      <c r="G22" s="13" t="inlineStr">
        <is>
          <t>eVars (Conversion Variables) in Adobe Analytics</t>
        </is>
      </c>
      <c r="H22" s="13" t="inlineStr">
        <is>
          <t>Yes</t>
        </is>
      </c>
      <c r="I22" s="13" t="inlineStr">
        <is>
          <t>eVars persist, and persistence is the whole point. Expiration, allocation, merchandising eVars, and who actually gets the credit for a conversion.</t>
        </is>
      </c>
      <c r="J22" s="13" t="inlineStr">
        <is>
          <t>Yes</t>
        </is>
      </c>
      <c r="K22" s="13" t="n">
        <v>47</v>
      </c>
      <c r="L22" s="13" t="n">
        <v>146</v>
      </c>
      <c r="M22" s="13" t="inlineStr">
        <is>
          <t>Yes</t>
        </is>
      </c>
      <c r="N22" s="13" t="inlineStr">
        <is>
          <t>Yes</t>
        </is>
      </c>
      <c r="O22" s="13">
        <f>IF(AND(H22="Yes",J22="Yes",M22="Yes",N22="Yes"),"Yes","No")</f>
        <v/>
      </c>
    </row>
    <row r="23" ht="15" customHeight="1" s="11">
      <c r="A23" s="13" t="inlineStr">
        <is>
          <t>Foundations</t>
        </is>
      </c>
      <c r="B23" s="13" t="inlineStr">
        <is>
          <t>variables</t>
        </is>
      </c>
      <c r="C23" s="13" t="n">
        <v>3</v>
      </c>
      <c r="D23" s="13" t="inlineStr">
        <is>
          <t>Events (Success Events)</t>
        </is>
      </c>
      <c r="E23" s="13" t="inlineStr">
        <is>
          <t>Section</t>
        </is>
      </c>
      <c r="F23" s="13" t="inlineStr">
        <is>
          <t>/adobe-analytics-learning/foundations/variables/events-success-events/</t>
        </is>
      </c>
      <c r="G23" s="13" t="inlineStr">
        <is>
          <t>Success Events in Adobe Analytics</t>
        </is>
      </c>
      <c r="H23" s="13" t="inlineStr">
        <is>
          <t>Yes</t>
        </is>
      </c>
      <c r="I23" s="13" t="inlineStr">
        <is>
          <t>Success events count the things that matter. Counter, numeric, and currency events, serialization to stop double-counting, and the setting you need to know.</t>
        </is>
      </c>
      <c r="J23" s="13" t="inlineStr">
        <is>
          <t>Yes</t>
        </is>
      </c>
      <c r="K23" s="13" t="n">
        <v>33</v>
      </c>
      <c r="L23" s="13" t="n">
        <v>156</v>
      </c>
      <c r="M23" s="13" t="inlineStr">
        <is>
          <t>Yes</t>
        </is>
      </c>
      <c r="N23" s="13" t="inlineStr">
        <is>
          <t>Yes</t>
        </is>
      </c>
      <c r="O23" s="13">
        <f>IF(AND(H23="Yes",J23="Yes",M23="Yes",N23="Yes"),"Yes","No")</f>
        <v/>
      </c>
    </row>
    <row r="24" ht="15" customHeight="1" s="11">
      <c r="A24" s="13" t="inlineStr">
        <is>
          <t>Foundations</t>
        </is>
      </c>
      <c r="B24" s="13" t="inlineStr">
        <is>
          <t>variables</t>
        </is>
      </c>
      <c r="C24" s="13" t="n">
        <v>4</v>
      </c>
      <c r="D24" s="13" t="inlineStr">
        <is>
          <t>Default and Reserved Variables</t>
        </is>
      </c>
      <c r="E24" s="13" t="inlineStr">
        <is>
          <t>Section</t>
        </is>
      </c>
      <c r="F24" s="13" t="inlineStr">
        <is>
          <t>/adobe-analytics-learning/foundations/variables/default-reserved-variables/</t>
        </is>
      </c>
      <c r="G24" s="13" t="inlineStr">
        <is>
          <t>Default and Reserved Variables in Adobe Analytics</t>
        </is>
      </c>
      <c r="H24" s="13" t="inlineStr">
        <is>
          <t>Yes</t>
        </is>
      </c>
      <c r="I24" s="13" t="inlineStr">
        <is>
          <t>pageName, campaign, and the reserved variables Adobe fills for you. Small variables with big consequences, and the two IDs people constantly mix up.</t>
        </is>
      </c>
      <c r="J24" s="13" t="inlineStr">
        <is>
          <t>Yes</t>
        </is>
      </c>
      <c r="K24" s="13" t="n">
        <v>49</v>
      </c>
      <c r="L24" s="13" t="n">
        <v>148</v>
      </c>
      <c r="M24" s="13" t="inlineStr">
        <is>
          <t>Yes</t>
        </is>
      </c>
      <c r="N24" s="13" t="inlineStr">
        <is>
          <t>Yes</t>
        </is>
      </c>
      <c r="O24" s="13">
        <f>IF(AND(H24="Yes",J24="Yes",M24="Yes",N24="Yes"),"Yes","No")</f>
        <v/>
      </c>
    </row>
    <row r="25" ht="15" customHeight="1" s="11">
      <c r="A25" s="13" t="inlineStr">
        <is>
          <t>Foundations</t>
        </is>
      </c>
      <c r="B25" s="13" t="inlineStr">
        <is>
          <t>variables</t>
        </is>
      </c>
      <c r="C25" s="13" t="n">
        <v>5</v>
      </c>
      <c r="D25" s="13" t="inlineStr">
        <is>
          <t>The Products String</t>
        </is>
      </c>
      <c r="E25" s="13" t="inlineStr">
        <is>
          <t>Section</t>
        </is>
      </c>
      <c r="F25" s="13" t="inlineStr">
        <is>
          <t>/adobe-analytics-learning/foundations/variables/products-string/</t>
        </is>
      </c>
      <c r="G25" s="13" t="inlineStr">
        <is>
          <t>The Adobe Analytics Products String</t>
        </is>
      </c>
      <c r="H25" s="13" t="inlineStr">
        <is>
          <t>Yes</t>
        </is>
      </c>
      <c r="I25" s="13" t="inlineStr">
        <is>
          <t>The products variable runs your whole ecommerce funnel through one string. Its six positions, its three delimiters, and the traps that corrupt commerce data.</t>
        </is>
      </c>
      <c r="J25" s="13" t="inlineStr">
        <is>
          <t>Yes</t>
        </is>
      </c>
      <c r="K25" s="13" t="n">
        <v>35</v>
      </c>
      <c r="L25" s="13" t="n">
        <v>157</v>
      </c>
      <c r="M25" s="13" t="inlineStr">
        <is>
          <t>Yes</t>
        </is>
      </c>
      <c r="N25" s="13" t="inlineStr">
        <is>
          <t>Yes</t>
        </is>
      </c>
      <c r="O25" s="13">
        <f>IF(AND(H25="Yes",J25="Yes",M25="Yes",N25="Yes"),"Yes","No")</f>
        <v/>
      </c>
    </row>
    <row r="26" ht="15" customHeight="1" s="11">
      <c r="A26" s="13" t="inlineStr">
        <is>
          <t>Foundations</t>
        </is>
      </c>
      <c r="B26" s="13" t="inlineStr">
        <is>
          <t>variables</t>
        </is>
      </c>
      <c r="C26" s="13" t="n">
        <v>6</v>
      </c>
      <c r="D26" s="13" t="inlineStr">
        <is>
          <t>List Variables and List Props</t>
        </is>
      </c>
      <c r="E26" s="13" t="inlineStr">
        <is>
          <t>Section</t>
        </is>
      </c>
      <c r="F26" s="13" t="inlineStr">
        <is>
          <t>/adobe-analytics-learning/foundations/variables/list-variables-list-props/</t>
        </is>
      </c>
      <c r="G26" s="13" t="inlineStr">
        <is>
          <t>List Variables and List Props in Adobe Analytics</t>
        </is>
      </c>
      <c r="H26" s="13" t="inlineStr">
        <is>
          <t>Yes</t>
        </is>
      </c>
      <c r="I26" s="13" t="inlineStr">
        <is>
          <t>List variables and list props hold several values in one hit. What each is for, the settings worth knowing, and why you have to guard your three.</t>
        </is>
      </c>
      <c r="J26" s="13" t="inlineStr">
        <is>
          <t>Yes</t>
        </is>
      </c>
      <c r="K26" s="13" t="n">
        <v>48</v>
      </c>
      <c r="L26" s="13" t="n">
        <v>145</v>
      </c>
      <c r="M26" s="13" t="inlineStr">
        <is>
          <t>Yes</t>
        </is>
      </c>
      <c r="N26" s="13" t="inlineStr">
        <is>
          <t>Yes</t>
        </is>
      </c>
      <c r="O26" s="13">
        <f>IF(AND(H26="Yes",J26="Yes",M26="Yes",N26="Yes"),"Yes","No")</f>
        <v/>
      </c>
    </row>
    <row r="27" ht="15" customHeight="1" s="11">
      <c r="A27" s="13" t="inlineStr">
        <is>
          <t>Foundations</t>
        </is>
      </c>
      <c r="B27" s="13" t="inlineStr">
        <is>
          <t>variables</t>
        </is>
      </c>
      <c r="C27" s="13" t="n">
        <v>7</v>
      </c>
      <c r="D27" s="13" t="inlineStr">
        <is>
          <t>Context Data Variables</t>
        </is>
      </c>
      <c r="E27" s="13" t="inlineStr">
        <is>
          <t>Section</t>
        </is>
      </c>
      <c r="F27" s="13" t="inlineStr">
        <is>
          <t>/adobe-analytics-learning/foundations/variables/context-data-variables/</t>
        </is>
      </c>
      <c r="G27" s="13" t="inlineStr">
        <is>
          <t>Context Data Variables in Adobe Analytics</t>
        </is>
      </c>
      <c r="H27" s="13" t="inlineStr">
        <is>
          <t>Yes</t>
        </is>
      </c>
      <c r="I27" s="13" t="inlineStr">
        <is>
          <t>Context data variables let you send data without spending a variable slot. What it buys you, why it is not optional on mobile, and where this is heading.</t>
        </is>
      </c>
      <c r="J27" s="13" t="inlineStr">
        <is>
          <t>Yes</t>
        </is>
      </c>
      <c r="K27" s="13" t="n">
        <v>41</v>
      </c>
      <c r="L27" s="13" t="n">
        <v>153</v>
      </c>
      <c r="M27" s="13" t="inlineStr">
        <is>
          <t>Yes</t>
        </is>
      </c>
      <c r="N27" s="13" t="inlineStr">
        <is>
          <t>Yes</t>
        </is>
      </c>
      <c r="O27" s="13">
        <f>IF(AND(H27="Yes",J27="Yes",M27="Yes",N27="Yes"),"Yes","No")</f>
        <v/>
      </c>
    </row>
    <row r="28" ht="15" customHeight="1" s="11">
      <c r="A28" s="13" t="inlineStr">
        <is>
          <t>Foundations</t>
        </is>
      </c>
      <c r="B28" s="13" t="inlineStr">
        <is>
          <t>variables</t>
        </is>
      </c>
      <c r="C28" s="13" t="n">
        <v>8</v>
      </c>
      <c r="D28" s="13" t="inlineStr">
        <is>
          <t>Variable Planning</t>
        </is>
      </c>
      <c r="E28" s="13" t="inlineStr">
        <is>
          <t>Section</t>
        </is>
      </c>
      <c r="F28" s="13" t="inlineStr">
        <is>
          <t>/adobe-analytics-learning/foundations/variables/variable-planning/</t>
        </is>
      </c>
      <c r="G28" s="13" t="inlineStr">
        <is>
          <t>Adobe Analytics Variable Planning and the SDR</t>
        </is>
      </c>
      <c r="H28" s="13" t="inlineStr">
        <is>
          <t>Yes</t>
        </is>
      </c>
      <c r="I28" s="13" t="inlineStr">
        <is>
          <t>Start from the report you want, not from the variables. The planning process step by step, and the solution design reference that holds it together.</t>
        </is>
      </c>
      <c r="J28" s="13" t="inlineStr">
        <is>
          <t>Yes</t>
        </is>
      </c>
      <c r="K28" s="13" t="n">
        <v>45</v>
      </c>
      <c r="L28" s="13" t="n">
        <v>148</v>
      </c>
      <c r="M28" s="13" t="inlineStr">
        <is>
          <t>Yes</t>
        </is>
      </c>
      <c r="N28" s="13" t="inlineStr">
        <is>
          <t>Yes</t>
        </is>
      </c>
      <c r="O28" s="13">
        <f>IF(AND(H28="Yes",J28="Yes",M28="Yes",N28="Yes"),"Yes","No")</f>
        <v/>
      </c>
    </row>
    <row r="29" ht="15" customHeight="1" s="11">
      <c r="A29" s="13" t="inlineStr">
        <is>
          <t>Collect</t>
        </is>
      </c>
      <c r="B29" s="13" t="n"/>
      <c r="C29" s="13" t="n"/>
      <c r="D29" s="13" t="inlineStr">
        <is>
          <t>Collect the data</t>
        </is>
      </c>
      <c r="E29" s="13" t="inlineStr">
        <is>
          <t>Category landing</t>
        </is>
      </c>
      <c r="F29" s="13" t="inlineStr">
        <is>
          <t>/adobe-analytics-learning/collect/</t>
        </is>
      </c>
      <c r="G29" s="13" t="inlineStr">
        <is>
          <t>Collecting Data in Adobe Analytics</t>
        </is>
      </c>
      <c r="H29" s="13" t="inlineStr">
        <is>
          <t>Yes</t>
        </is>
      </c>
      <c r="I29" s="13" t="inlineStr">
        <is>
          <t>How data gets from a page or app into Adobe: the collection methods, the data layer that feeds them, the tag manager that fires them, and the tracking calls that carry the payload.</t>
        </is>
      </c>
      <c r="J29" s="13" t="inlineStr">
        <is>
          <t>Yes</t>
        </is>
      </c>
      <c r="K29" s="13" t="n">
        <v>34</v>
      </c>
      <c r="L29" s="13" t="n">
        <v>180</v>
      </c>
      <c r="M29" s="13" t="inlineStr">
        <is>
          <t>No</t>
        </is>
      </c>
      <c r="N29" s="13" t="inlineStr">
        <is>
          <t>No</t>
        </is>
      </c>
      <c r="O29" s="13">
        <f>IF(AND(H29="Yes",J29="Yes",M29="Yes",N29="Yes"),"Yes","No")</f>
        <v/>
      </c>
    </row>
    <row r="30" ht="15" customHeight="1" s="11">
      <c r="A30" s="13" t="inlineStr">
        <is>
          <t>Collect</t>
        </is>
      </c>
      <c r="B30" s="13" t="inlineStr">
        <is>
          <t>adobe-launch-tags</t>
        </is>
      </c>
      <c r="C30" s="13" t="n"/>
      <c r="D30" s="13" t="inlineStr">
        <is>
          <t>Adobe Launch (Tags)</t>
        </is>
      </c>
      <c r="E30" s="13" t="inlineStr">
        <is>
          <t>Module landing</t>
        </is>
      </c>
      <c r="F30" s="13" t="inlineStr">
        <is>
          <t>/adobe-analytics-learning/collect/adobe-launch-tags/</t>
        </is>
      </c>
      <c r="G30" s="13" t="inlineStr">
        <is>
          <t>Adobe Launch (Tags) for Analytics</t>
        </is>
      </c>
      <c r="H30" s="13" t="inlineStr">
        <is>
          <t>Yes</t>
        </is>
      </c>
      <c r="I30" s="13" t="inlineStr">
        <is>
          <t>Adobe Experience Platform Tags, formerly Launch. Properties, extensions, data elements, rules, and the publishing workflow that keeps production safe.</t>
        </is>
      </c>
      <c r="J30" s="13" t="inlineStr">
        <is>
          <t>Yes</t>
        </is>
      </c>
      <c r="K30" s="13" t="n">
        <v>33</v>
      </c>
      <c r="L30" s="13" t="n">
        <v>150</v>
      </c>
      <c r="M30" s="13" t="inlineStr">
        <is>
          <t>No</t>
        </is>
      </c>
      <c r="N30" s="13" t="inlineStr">
        <is>
          <t>No</t>
        </is>
      </c>
      <c r="O30" s="13">
        <f>IF(AND(H30="Yes",J30="Yes",M30="Yes",N30="Yes"),"Yes","No")</f>
        <v/>
      </c>
    </row>
    <row r="31" ht="15" customHeight="1" s="11">
      <c r="A31" s="13" t="inlineStr">
        <is>
          <t>Collect</t>
        </is>
      </c>
      <c r="B31" s="13" t="inlineStr">
        <is>
          <t>adobe-launch-tags</t>
        </is>
      </c>
      <c r="C31" s="13" t="n">
        <v>1</v>
      </c>
      <c r="D31" s="13" t="inlineStr">
        <is>
          <t>Launch Architecture</t>
        </is>
      </c>
      <c r="E31" s="13" t="inlineStr">
        <is>
          <t>Section</t>
        </is>
      </c>
      <c r="F31" s="13" t="inlineStr">
        <is>
          <t>/adobe-analytics-learning/collect/adobe-launch-tags/launch-architecture/</t>
        </is>
      </c>
      <c r="G31" s="13" t="n"/>
      <c r="H31" s="13" t="inlineStr">
        <is>
          <t>No</t>
        </is>
      </c>
      <c r="I31" s="13" t="inlineStr">
        <is>
          <t>What Launch actually is, why Adobe built it rather than leaving you on Tealium or Google Tag Manager, and how it is organized.</t>
        </is>
      </c>
      <c r="J31" s="13" t="inlineStr">
        <is>
          <t>Yes</t>
        </is>
      </c>
      <c r="K31" s="13" t="n">
        <v>0</v>
      </c>
      <c r="L31" s="13" t="n">
        <v>126</v>
      </c>
      <c r="M31" s="13" t="inlineStr">
        <is>
          <t>Yes</t>
        </is>
      </c>
      <c r="N31" s="13" t="inlineStr">
        <is>
          <t>Yes</t>
        </is>
      </c>
      <c r="O31" s="13" t="inlineStr">
        <is>
          <t>Locked</t>
        </is>
      </c>
    </row>
    <row r="32" ht="15" customHeight="1" s="11">
      <c r="A32" s="13" t="inlineStr">
        <is>
          <t>Collect</t>
        </is>
      </c>
      <c r="B32" s="13" t="inlineStr">
        <is>
          <t>adobe-launch-tags</t>
        </is>
      </c>
      <c r="C32" s="13" t="n">
        <v>2</v>
      </c>
      <c r="D32" s="13" t="inlineStr">
        <is>
          <t>Properties</t>
        </is>
      </c>
      <c r="E32" s="13" t="inlineStr">
        <is>
          <t>Section</t>
        </is>
      </c>
      <c r="F32" s="13" t="inlineStr">
        <is>
          <t>/adobe-analytics-learning/collect/adobe-launch-tags/properties/</t>
        </is>
      </c>
      <c r="G32" s="13" t="n"/>
      <c r="H32" s="13" t="inlineStr">
        <is>
          <t>No</t>
        </is>
      </c>
      <c r="I32" s="13" t="inlineStr">
        <is>
          <t>A property is one script, one scope, one team. What it holds, why property design matters more than it looks, and the _satellite object underneath.</t>
        </is>
      </c>
      <c r="J32" s="13" t="inlineStr">
        <is>
          <t>Yes</t>
        </is>
      </c>
      <c r="K32" s="13" t="n">
        <v>0</v>
      </c>
      <c r="L32" s="13" t="n">
        <v>147</v>
      </c>
      <c r="M32" s="13" t="inlineStr">
        <is>
          <t>Yes</t>
        </is>
      </c>
      <c r="N32" s="13" t="inlineStr">
        <is>
          <t>Yes</t>
        </is>
      </c>
      <c r="O32" s="13" t="inlineStr">
        <is>
          <t>Locked</t>
        </is>
      </c>
    </row>
    <row r="33" ht="15" customHeight="1" s="11">
      <c r="A33" s="13" t="inlineStr">
        <is>
          <t>Collect</t>
        </is>
      </c>
      <c r="B33" s="13" t="inlineStr">
        <is>
          <t>adobe-launch-tags</t>
        </is>
      </c>
      <c r="C33" s="13" t="n">
        <v>3</v>
      </c>
      <c r="D33" s="13" t="inlineStr">
        <is>
          <t>Extensions</t>
        </is>
      </c>
      <c r="E33" s="13" t="inlineStr">
        <is>
          <t>Section</t>
        </is>
      </c>
      <c r="F33" s="13" t="inlineStr">
        <is>
          <t>/adobe-analytics-learning/collect/adobe-launch-tags/extensions/</t>
        </is>
      </c>
      <c r="G33" s="13" t="n"/>
      <c r="H33" s="13" t="inlineStr">
        <is>
          <t>No</t>
        </is>
      </c>
      <c r="I33" s="13" t="inlineStr">
        <is>
          <t>Extensions are how Launch becomes a platform rather than a script loader. What an extension really is, its anatomy, and why Adobe put its own products in it.</t>
        </is>
      </c>
      <c r="J33" s="13" t="inlineStr">
        <is>
          <t>Yes</t>
        </is>
      </c>
      <c r="K33" s="13" t="n">
        <v>0</v>
      </c>
      <c r="L33" s="13" t="n">
        <v>157</v>
      </c>
      <c r="M33" s="13" t="inlineStr">
        <is>
          <t>Yes</t>
        </is>
      </c>
      <c r="N33" s="13" t="inlineStr">
        <is>
          <t>Yes</t>
        </is>
      </c>
      <c r="O33" s="13" t="inlineStr">
        <is>
          <t>Locked</t>
        </is>
      </c>
    </row>
    <row r="34" ht="15" customHeight="1" s="11">
      <c r="A34" s="13" t="inlineStr">
        <is>
          <t>Collect</t>
        </is>
      </c>
      <c r="B34" s="13" t="inlineStr">
        <is>
          <t>adobe-launch-tags</t>
        </is>
      </c>
      <c r="C34" s="13" t="n">
        <v>4</v>
      </c>
      <c r="D34" s="13" t="inlineStr">
        <is>
          <t>Data Elements</t>
        </is>
      </c>
      <c r="E34" s="13" t="inlineStr">
        <is>
          <t>Section</t>
        </is>
      </c>
      <c r="F34" s="13" t="inlineStr">
        <is>
          <t>/adobe-analytics-learning/collect/adobe-launch-tags/data-elements/</t>
        </is>
      </c>
      <c r="G34" s="13" t="n"/>
      <c r="H34" s="13" t="inlineStr">
        <is>
          <t>No</t>
        </is>
      </c>
      <c r="I34" s="13" t="inlineStr">
        <is>
          <t>A data element is not just a variable, it carries capability. How it differs from the data layer, the types available, and why bypassing it costs you.</t>
        </is>
      </c>
      <c r="J34" s="13" t="inlineStr">
        <is>
          <t>Yes</t>
        </is>
      </c>
      <c r="K34" s="13" t="n">
        <v>0</v>
      </c>
      <c r="L34" s="13" t="n">
        <v>150</v>
      </c>
      <c r="M34" s="13" t="inlineStr">
        <is>
          <t>Yes</t>
        </is>
      </c>
      <c r="N34" s="13" t="inlineStr">
        <is>
          <t>Yes</t>
        </is>
      </c>
      <c r="O34" s="13" t="inlineStr">
        <is>
          <t>Locked</t>
        </is>
      </c>
    </row>
    <row r="35" ht="15" customHeight="1" s="11">
      <c r="A35" s="13" t="inlineStr">
        <is>
          <t>Collect</t>
        </is>
      </c>
      <c r="B35" s="13" t="inlineStr">
        <is>
          <t>adobe-launch-tags</t>
        </is>
      </c>
      <c r="C35" s="13" t="n">
        <v>5</v>
      </c>
      <c r="D35" s="13" t="inlineStr">
        <is>
          <t>Rules</t>
        </is>
      </c>
      <c r="E35" s="13" t="inlineStr">
        <is>
          <t>Section</t>
        </is>
      </c>
      <c r="F35" s="13" t="inlineStr">
        <is>
          <t>/adobe-analytics-learning/collect/adobe-launch-tags/rules/</t>
        </is>
      </c>
      <c r="G35" s="13" t="n"/>
      <c r="H35" s="13" t="inlineStr">
        <is>
          <t>No</t>
        </is>
      </c>
      <c r="I35" s="13" t="inlineStr">
        <is>
          <t>Every Launch rule has three parts: events, conditions, and actions. What each one decides, and how rule sequence makes several rules work together.</t>
        </is>
      </c>
      <c r="J35" s="13" t="inlineStr">
        <is>
          <t>Yes</t>
        </is>
      </c>
      <c r="K35" s="13" t="n">
        <v>0</v>
      </c>
      <c r="L35" s="13" t="n">
        <v>147</v>
      </c>
      <c r="M35" s="13" t="inlineStr">
        <is>
          <t>Yes</t>
        </is>
      </c>
      <c r="N35" s="13" t="inlineStr">
        <is>
          <t>Yes</t>
        </is>
      </c>
      <c r="O35" s="13" t="inlineStr">
        <is>
          <t>Locked</t>
        </is>
      </c>
    </row>
    <row r="36" ht="15" customHeight="1" s="11">
      <c r="A36" s="13" t="inlineStr">
        <is>
          <t>Collect</t>
        </is>
      </c>
      <c r="B36" s="13" t="inlineStr">
        <is>
          <t>adobe-launch-tags</t>
        </is>
      </c>
      <c r="C36" s="13" t="n">
        <v>6</v>
      </c>
      <c r="D36" s="13" t="inlineStr">
        <is>
          <t>Publishing Workflow</t>
        </is>
      </c>
      <c r="E36" s="13" t="inlineStr">
        <is>
          <t>Section</t>
        </is>
      </c>
      <c r="F36" s="13" t="inlineStr">
        <is>
          <t>/adobe-analytics-learning/collect/adobe-launch-tags/publishing-workflow/</t>
        </is>
      </c>
      <c r="G36" s="13" t="n"/>
      <c r="H36" s="13" t="inlineStr">
        <is>
          <t>No</t>
        </is>
      </c>
      <c r="I36" s="13" t="inlineStr">
        <is>
          <t>The four states a library moves through, the approval gates and why they exist, publishing day, and what to do when production goes wrong.</t>
        </is>
      </c>
      <c r="J36" s="13" t="inlineStr">
        <is>
          <t>Yes</t>
        </is>
      </c>
      <c r="K36" s="13" t="n">
        <v>0</v>
      </c>
      <c r="L36" s="13" t="n">
        <v>138</v>
      </c>
      <c r="M36" s="13" t="inlineStr">
        <is>
          <t>Yes</t>
        </is>
      </c>
      <c r="N36" s="13" t="inlineStr">
        <is>
          <t>Yes</t>
        </is>
      </c>
      <c r="O36" s="13" t="inlineStr">
        <is>
          <t>Locked</t>
        </is>
      </c>
    </row>
    <row r="37" ht="15" customHeight="1" s="11">
      <c r="A37" s="13" t="inlineStr">
        <is>
          <t>Collect</t>
        </is>
      </c>
      <c r="B37" s="13" t="inlineStr">
        <is>
          <t>adobe-launch-tags</t>
        </is>
      </c>
      <c r="C37" s="13" t="n">
        <v>7</v>
      </c>
      <c r="D37" s="13" t="inlineStr">
        <is>
          <t>Environments</t>
        </is>
      </c>
      <c r="E37" s="13" t="inlineStr">
        <is>
          <t>Section</t>
        </is>
      </c>
      <c r="F37" s="13" t="inlineStr">
        <is>
          <t>/adobe-analytics-learning/collect/adobe-launch-tags/environments/</t>
        </is>
      </c>
      <c r="G37" s="13" t="inlineStr">
        <is>
          <t>Environments and Embed Codes in Adobe Launch</t>
        </is>
      </c>
      <c r="H37" s="13" t="inlineStr">
        <is>
          <t>Yes</t>
        </is>
      </c>
      <c r="I37" s="13" t="inlineStr">
        <is>
          <t>Why Launch has development, staging, and production environments, why the last two are singular, and why you cannot edit them directly.</t>
        </is>
      </c>
      <c r="J37" s="13" t="inlineStr">
        <is>
          <t>Yes</t>
        </is>
      </c>
      <c r="K37" s="13" t="n">
        <v>44</v>
      </c>
      <c r="L37" s="13" t="n">
        <v>135</v>
      </c>
      <c r="M37" s="13" t="inlineStr">
        <is>
          <t>Yes</t>
        </is>
      </c>
      <c r="N37" s="13" t="inlineStr">
        <is>
          <t>Yes</t>
        </is>
      </c>
      <c r="O37" s="13" t="inlineStr">
        <is>
          <t>Locked</t>
        </is>
      </c>
    </row>
    <row r="38" ht="15" customHeight="1" s="11">
      <c r="A38" s="13" t="inlineStr">
        <is>
          <t>Collect</t>
        </is>
      </c>
      <c r="B38" s="13" t="inlineStr">
        <is>
          <t>adobe-launch-tags</t>
        </is>
      </c>
      <c r="C38" s="13" t="n">
        <v>8</v>
      </c>
      <c r="D38" s="13" t="inlineStr">
        <is>
          <t>Consent and Tag Management</t>
        </is>
      </c>
      <c r="E38" s="13" t="inlineStr">
        <is>
          <t>Section</t>
        </is>
      </c>
      <c r="F38" s="13" t="inlineStr">
        <is>
          <t>/adobe-analytics-learning/collect/adobe-launch-tags/consent-and-tag-management/</t>
        </is>
      </c>
      <c r="G38" s="13" t="inlineStr">
        <is>
          <t>Consent Management in Adobe Launch</t>
        </is>
      </c>
      <c r="H38" s="13" t="inlineStr">
        <is>
          <t>Yes</t>
        </is>
      </c>
      <c r="I38" s="13" t="inlineStr">
        <is>
          <t>This section is not yet written.</t>
        </is>
      </c>
      <c r="J38" s="13" t="inlineStr">
        <is>
          <t>Yes</t>
        </is>
      </c>
      <c r="K38" s="13" t="n">
        <v>34</v>
      </c>
      <c r="L38" s="13" t="n">
        <v>32</v>
      </c>
      <c r="M38" s="13" t="inlineStr">
        <is>
          <t>No</t>
        </is>
      </c>
      <c r="N38" s="13" t="inlineStr">
        <is>
          <t>No</t>
        </is>
      </c>
      <c r="O38" s="13">
        <f>IF(AND(H38="Yes",J38="Yes",M38="Yes",N38="Yes"),"Yes","No")</f>
        <v/>
      </c>
    </row>
    <row r="39" ht="15" customHeight="1" s="11">
      <c r="A39" s="13" t="inlineStr">
        <is>
          <t>Collect</t>
        </is>
      </c>
      <c r="B39" s="13" t="inlineStr">
        <is>
          <t>data-collection</t>
        </is>
      </c>
      <c r="C39" s="13" t="n"/>
      <c r="D39" s="13" t="inlineStr">
        <is>
          <t>Data Collection</t>
        </is>
      </c>
      <c r="E39" s="13" t="inlineStr">
        <is>
          <t>Module landing</t>
        </is>
      </c>
      <c r="F39" s="13" t="inlineStr">
        <is>
          <t>/adobe-analytics-learning/collect/data-collection/</t>
        </is>
      </c>
      <c r="G39" s="13" t="inlineStr">
        <is>
          <t>Data Collection in Adobe Analytics</t>
        </is>
      </c>
      <c r="H39" s="13" t="inlineStr">
        <is>
          <t>Yes</t>
        </is>
      </c>
      <c r="I39" s="13" t="inlineStr">
        <is>
          <t>How data actually gets from a browser or an app into Adobe Analytics: AppMeasurement, the Web SDK, server-side, mobile, and the data layer underneath.</t>
        </is>
      </c>
      <c r="J39" s="13" t="inlineStr">
        <is>
          <t>Yes</t>
        </is>
      </c>
      <c r="K39" s="13" t="n">
        <v>34</v>
      </c>
      <c r="L39" s="13" t="n">
        <v>150</v>
      </c>
      <c r="M39" s="13" t="inlineStr">
        <is>
          <t>No</t>
        </is>
      </c>
      <c r="N39" s="13" t="inlineStr">
        <is>
          <t>No</t>
        </is>
      </c>
      <c r="O39" s="13">
        <f>IF(AND(H39="Yes",J39="Yes",M39="Yes",N39="Yes"),"Yes","No")</f>
        <v/>
      </c>
    </row>
    <row r="40" ht="15" customHeight="1" s="11">
      <c r="A40" s="13" t="inlineStr">
        <is>
          <t>Collect</t>
        </is>
      </c>
      <c r="B40" s="13" t="inlineStr">
        <is>
          <t>data-collection</t>
        </is>
      </c>
      <c r="C40" s="13" t="n">
        <v>1</v>
      </c>
      <c r="D40" s="13" t="inlineStr">
        <is>
          <t>Collection Methods Overview</t>
        </is>
      </c>
      <c r="E40" s="13" t="inlineStr">
        <is>
          <t>Section</t>
        </is>
      </c>
      <c r="F40" s="13" t="inlineStr">
        <is>
          <t>/adobe-analytics-learning/collect/data-collection/collection-methods-overview/</t>
        </is>
      </c>
      <c r="G40" s="13" t="n"/>
      <c r="H40" s="13" t="inlineStr">
        <is>
          <t>No</t>
        </is>
      </c>
      <c r="I40" s="13" t="inlineStr">
        <is>
          <t>The four ways to capture data, the two questions that define every implementation, and how teams actually choose between them.</t>
        </is>
      </c>
      <c r="J40" s="13" t="inlineStr">
        <is>
          <t>Yes</t>
        </is>
      </c>
      <c r="K40" s="13" t="n">
        <v>0</v>
      </c>
      <c r="L40" s="13" t="n">
        <v>126</v>
      </c>
      <c r="M40" s="13" t="inlineStr">
        <is>
          <t>Yes</t>
        </is>
      </c>
      <c r="N40" s="13" t="inlineStr">
        <is>
          <t>Yes</t>
        </is>
      </c>
      <c r="O40" s="13" t="inlineStr">
        <is>
          <t>Locked</t>
        </is>
      </c>
    </row>
    <row r="41" ht="15" customHeight="1" s="11">
      <c r="A41" s="13" t="inlineStr">
        <is>
          <t>Collect</t>
        </is>
      </c>
      <c r="B41" s="13" t="inlineStr">
        <is>
          <t>data-collection</t>
        </is>
      </c>
      <c r="C41" s="13" t="n">
        <v>2</v>
      </c>
      <c r="D41" s="13" t="inlineStr">
        <is>
          <t>AppMeasurement Library</t>
        </is>
      </c>
      <c r="E41" s="13" t="inlineStr">
        <is>
          <t>Section</t>
        </is>
      </c>
      <c r="F41" s="13" t="inlineStr">
        <is>
          <t>/adobe-analytics-learning/collect/data-collection/appmeasurement-library/</t>
        </is>
      </c>
      <c r="G41" s="13" t="n"/>
      <c r="H41" s="13" t="inlineStr">
        <is>
          <t>No</t>
        </is>
      </c>
      <c r="I41" s="13" t="inlineStr">
        <is>
          <t>How AppMeasurement really works: where it slips into the page, what the s object packs into a hit, and the linkTrackVars trap that haunts everyone.</t>
        </is>
      </c>
      <c r="J41" s="13" t="inlineStr">
        <is>
          <t>Yes</t>
        </is>
      </c>
      <c r="K41" s="13" t="n">
        <v>0</v>
      </c>
      <c r="L41" s="13" t="n">
        <v>147</v>
      </c>
      <c r="M41" s="13" t="inlineStr">
        <is>
          <t>Yes</t>
        </is>
      </c>
      <c r="N41" s="13" t="inlineStr">
        <is>
          <t>Yes</t>
        </is>
      </c>
      <c r="O41" s="13" t="inlineStr">
        <is>
          <t>Locked</t>
        </is>
      </c>
    </row>
    <row r="42" ht="15" customHeight="1" s="11">
      <c r="A42" s="13" t="inlineStr">
        <is>
          <t>Collect</t>
        </is>
      </c>
      <c r="B42" s="13" t="inlineStr">
        <is>
          <t>data-collection</t>
        </is>
      </c>
      <c r="C42" s="13" t="n">
        <v>3</v>
      </c>
      <c r="D42" s="13" t="inlineStr">
        <is>
          <t>Adobe Web SDK</t>
        </is>
      </c>
      <c r="E42" s="13" t="inlineStr">
        <is>
          <t>Section</t>
        </is>
      </c>
      <c r="F42" s="13" t="inlineStr">
        <is>
          <t>/adobe-analytics-learning/collect/data-collection/adobe-web-sdk/</t>
        </is>
      </c>
      <c r="G42" s="13" t="n"/>
      <c r="H42" s="13" t="inlineStr">
        <is>
          <t>No</t>
        </is>
      </c>
      <c r="I42" s="13" t="inlineStr">
        <is>
          <t>Why Adobe froze AppMeasurement and built the Web SDK instead. What alloy.js is, where it sits, and the honest catch nobody mentions.</t>
        </is>
      </c>
      <c r="J42" s="13" t="inlineStr">
        <is>
          <t>Yes</t>
        </is>
      </c>
      <c r="K42" s="13" t="n">
        <v>0</v>
      </c>
      <c r="L42" s="13" t="n">
        <v>132</v>
      </c>
      <c r="M42" s="13" t="inlineStr">
        <is>
          <t>Yes</t>
        </is>
      </c>
      <c r="N42" s="13" t="inlineStr">
        <is>
          <t>Yes</t>
        </is>
      </c>
      <c r="O42" s="13" t="inlineStr">
        <is>
          <t>Locked</t>
        </is>
      </c>
    </row>
    <row r="43" ht="15" customHeight="1" s="11">
      <c r="A43" s="13" t="inlineStr">
        <is>
          <t>Collect</t>
        </is>
      </c>
      <c r="B43" s="13" t="inlineStr">
        <is>
          <t>data-collection</t>
        </is>
      </c>
      <c r="C43" s="13" t="n">
        <v>4</v>
      </c>
      <c r="D43" s="13" t="inlineStr">
        <is>
          <t>Tag Management Systems</t>
        </is>
      </c>
      <c r="E43" s="13" t="inlineStr">
        <is>
          <t>Section</t>
        </is>
      </c>
      <c r="F43" s="13" t="inlineStr">
        <is>
          <t>/adobe-analytics-learning/collect/data-collection/tag-management-systems/</t>
        </is>
      </c>
      <c r="G43" s="13" t="inlineStr">
        <is>
          <t>Tag Management Systems for Adobe Analytics</t>
        </is>
      </c>
      <c r="H43" s="13" t="inlineStr">
        <is>
          <t>Yes</t>
        </is>
      </c>
      <c r="I43" s="13" t="inlineStr">
        <is>
          <t>Deploy your tags directly in the page, or through a tag management system? What a TMS actually buys you, and when direct still makes sense.</t>
        </is>
      </c>
      <c r="J43" s="13" t="inlineStr">
        <is>
          <t>Yes</t>
        </is>
      </c>
      <c r="K43" s="13" t="n">
        <v>42</v>
      </c>
      <c r="L43" s="13" t="n">
        <v>139</v>
      </c>
      <c r="M43" s="13" t="inlineStr">
        <is>
          <t>Yes</t>
        </is>
      </c>
      <c r="N43" s="13" t="inlineStr">
        <is>
          <t>Yes</t>
        </is>
      </c>
      <c r="O43" s="13" t="inlineStr">
        <is>
          <t>Locked</t>
        </is>
      </c>
    </row>
    <row r="44" ht="15" customHeight="1" s="11">
      <c r="A44" s="13" t="inlineStr">
        <is>
          <t>Collect</t>
        </is>
      </c>
      <c r="B44" s="13" t="inlineStr">
        <is>
          <t>data-collection</t>
        </is>
      </c>
      <c r="C44" s="13" t="n">
        <v>5</v>
      </c>
      <c r="D44" s="13" t="inlineStr">
        <is>
          <t>Server-Side Collection</t>
        </is>
      </c>
      <c r="E44" s="13" t="inlineStr">
        <is>
          <t>Section</t>
        </is>
      </c>
      <c r="F44" s="13" t="inlineStr">
        <is>
          <t>/adobe-analytics-learning/collect/data-collection/server-side-collection/</t>
        </is>
      </c>
      <c r="G44" s="13" t="n"/>
      <c r="H44" s="13" t="inlineStr">
        <is>
          <t>No</t>
        </is>
      </c>
      <c r="I44" s="13" t="inlineStr">
        <is>
          <t>Sending data to Adobe Analytics without a browser. The three server-side paths, the identity problem every server hit creates, and the timestamp trap.</t>
        </is>
      </c>
      <c r="J44" s="13" t="inlineStr">
        <is>
          <t>Yes</t>
        </is>
      </c>
      <c r="K44" s="13" t="n">
        <v>0</v>
      </c>
      <c r="L44" s="13" t="n">
        <v>150</v>
      </c>
      <c r="M44" s="13" t="inlineStr">
        <is>
          <t>Yes</t>
        </is>
      </c>
      <c r="N44" s="13" t="inlineStr">
        <is>
          <t>Yes</t>
        </is>
      </c>
      <c r="O44" s="13" t="inlineStr">
        <is>
          <t>Locked</t>
        </is>
      </c>
    </row>
    <row r="45" ht="15" customHeight="1" s="11">
      <c r="A45" s="13" t="inlineStr">
        <is>
          <t>Collect</t>
        </is>
      </c>
      <c r="B45" s="13" t="inlineStr">
        <is>
          <t>data-collection</t>
        </is>
      </c>
      <c r="C45" s="13" t="n">
        <v>6</v>
      </c>
      <c r="D45" s="13" t="inlineStr">
        <is>
          <t>Mobile SDK</t>
        </is>
      </c>
      <c r="E45" s="13" t="inlineStr">
        <is>
          <t>Section</t>
        </is>
      </c>
      <c r="F45" s="13" t="inlineStr">
        <is>
          <t>/adobe-analytics-learning/collect/data-collection/mobile-sdk/</t>
        </is>
      </c>
      <c r="G45" s="13" t="n"/>
      <c r="H45" s="13" t="inlineStr">
        <is>
          <t>No</t>
        </is>
      </c>
      <c r="I45" s="13" t="inlineStr">
        <is>
          <t>The Adobe Mobile SDK is compiled, and that changes everything. trackState, trackAction, context data, and why offline is the normal case.</t>
        </is>
      </c>
      <c r="J45" s="13" t="inlineStr">
        <is>
          <t>Yes</t>
        </is>
      </c>
      <c r="K45" s="13" t="n">
        <v>0</v>
      </c>
      <c r="L45" s="13" t="n">
        <v>137</v>
      </c>
      <c r="M45" s="13" t="inlineStr">
        <is>
          <t>Yes</t>
        </is>
      </c>
      <c r="N45" s="13" t="inlineStr">
        <is>
          <t>Yes</t>
        </is>
      </c>
      <c r="O45" s="13" t="inlineStr">
        <is>
          <t>Locked</t>
        </is>
      </c>
    </row>
    <row r="46" ht="15" customHeight="1" s="11">
      <c r="A46" s="13" t="inlineStr">
        <is>
          <t>Collect</t>
        </is>
      </c>
      <c r="B46" s="13" t="inlineStr">
        <is>
          <t>data-layers</t>
        </is>
      </c>
      <c r="C46" s="13" t="n"/>
      <c r="D46" s="13" t="inlineStr">
        <is>
          <t>Data Layers</t>
        </is>
      </c>
      <c r="E46" s="13" t="inlineStr">
        <is>
          <t>Module landing</t>
        </is>
      </c>
      <c r="F46" s="13" t="inlineStr">
        <is>
          <t>/adobe-analytics-learning/collect/data-layers/</t>
        </is>
      </c>
      <c r="G46" s="13" t="inlineStr">
        <is>
          <t>Data Layers in Adobe Analytics</t>
        </is>
      </c>
      <c r="H46" s="13" t="inlineStr">
        <is>
          <t>Yes</t>
        </is>
      </c>
      <c r="I46" s="13" t="inlineStr">
        <is>
          <t>What a data layer is, why Adobe built its own, and how to design one that survives a redesign.</t>
        </is>
      </c>
      <c r="J46" s="13" t="inlineStr">
        <is>
          <t>Yes</t>
        </is>
      </c>
      <c r="K46" s="13" t="n">
        <v>30</v>
      </c>
      <c r="L46" s="13" t="n">
        <v>94</v>
      </c>
      <c r="M46" s="13" t="inlineStr">
        <is>
          <t>No</t>
        </is>
      </c>
      <c r="N46" s="13" t="inlineStr">
        <is>
          <t>No</t>
        </is>
      </c>
      <c r="O46" s="13">
        <f>IF(AND(H46="Yes",J46="Yes",M46="Yes",N46="Yes"),"Yes","No")</f>
        <v/>
      </c>
    </row>
    <row r="47" ht="15" customHeight="1" s="11">
      <c r="A47" s="13" t="inlineStr">
        <is>
          <t>Collect</t>
        </is>
      </c>
      <c r="B47" s="13" t="inlineStr">
        <is>
          <t>data-layers</t>
        </is>
      </c>
      <c r="C47" s="13" t="n">
        <v>1</v>
      </c>
      <c r="D47" s="13" t="inlineStr">
        <is>
          <t>What Is a Data Layer</t>
        </is>
      </c>
      <c r="E47" s="13" t="inlineStr">
        <is>
          <t>Section</t>
        </is>
      </c>
      <c r="F47" s="13" t="inlineStr">
        <is>
          <t>/adobe-analytics-learning/collect/data-layers/what-is-a-data-layer/</t>
        </is>
      </c>
      <c r="G47" s="13" t="inlineStr">
        <is>
          <t>What Is a Data Layer (W3C CEDDL)</t>
        </is>
      </c>
      <c r="H47" s="13" t="inlineStr">
        <is>
          <t>Yes</t>
        </is>
      </c>
      <c r="I47" s="13" t="inlineStr">
        <is>
          <t>The data layer is a contract between your developers and your analytics. Who builds it, why it is the most fragile thing you own, and the rule you never break.</t>
        </is>
      </c>
      <c r="J47" s="13" t="inlineStr">
        <is>
          <t>Yes</t>
        </is>
      </c>
      <c r="K47" s="13" t="n">
        <v>32</v>
      </c>
      <c r="L47" s="13" t="n">
        <v>159</v>
      </c>
      <c r="M47" s="13" t="inlineStr">
        <is>
          <t>Yes</t>
        </is>
      </c>
      <c r="N47" s="13" t="inlineStr">
        <is>
          <t>Yes</t>
        </is>
      </c>
      <c r="O47" s="13" t="inlineStr">
        <is>
          <t>Locked</t>
        </is>
      </c>
    </row>
    <row r="48" ht="15" customHeight="1" s="11">
      <c r="A48" s="13" t="inlineStr">
        <is>
          <t>Collect</t>
        </is>
      </c>
      <c r="B48" s="13" t="inlineStr">
        <is>
          <t>data-layers</t>
        </is>
      </c>
      <c r="C48" s="13" t="n">
        <v>2</v>
      </c>
      <c r="D48" s="13" t="inlineStr">
        <is>
          <t>Adobe Client Data Layer (ACDL)</t>
        </is>
      </c>
      <c r="E48" s="13" t="inlineStr">
        <is>
          <t>Section</t>
        </is>
      </c>
      <c r="F48" s="13" t="inlineStr">
        <is>
          <t>/adobe-analytics-learning/collect/data-layers/adobe-client-data-layer/</t>
        </is>
      </c>
      <c r="G48" s="13" t="n"/>
      <c r="H48" s="13" t="inlineStr">
        <is>
          <t>No</t>
        </is>
      </c>
      <c r="I48" s="13" t="inlineStr">
        <is>
          <t>The Adobe Client Data Layer, step by step: declare, push, catch it in Launch. Where its event history earns its keep, and what it honestly costs.</t>
        </is>
      </c>
      <c r="J48" s="13" t="inlineStr">
        <is>
          <t>Yes</t>
        </is>
      </c>
      <c r="K48" s="13" t="n">
        <v>0</v>
      </c>
      <c r="L48" s="13" t="n">
        <v>145</v>
      </c>
      <c r="M48" s="13" t="inlineStr">
        <is>
          <t>Yes</t>
        </is>
      </c>
      <c r="N48" s="13" t="inlineStr">
        <is>
          <t>Yes</t>
        </is>
      </c>
      <c r="O48" s="13" t="inlineStr">
        <is>
          <t>Locked</t>
        </is>
      </c>
    </row>
    <row r="49" ht="15" customHeight="1" s="11">
      <c r="A49" s="13" t="inlineStr">
        <is>
          <t>Collect</t>
        </is>
      </c>
      <c r="B49" s="13" t="inlineStr">
        <is>
          <t>data-layers</t>
        </is>
      </c>
      <c r="C49" s="13" t="n">
        <v>3</v>
      </c>
      <c r="D49" s="13" t="inlineStr">
        <is>
          <t>Do You Really Need ACDL?</t>
        </is>
      </c>
      <c r="E49" s="13" t="inlineStr">
        <is>
          <t>Section</t>
        </is>
      </c>
      <c r="F49" s="13" t="inlineStr">
        <is>
          <t>/adobe-analytics-learning/collect/data-layers/do-you-need-acdl/</t>
        </is>
      </c>
      <c r="G49" s="13" t="n"/>
      <c r="H49" s="13" t="inlineStr">
        <is>
          <t>No</t>
        </is>
      </c>
      <c r="I49" s="13" t="inlineStr">
        <is>
          <t>ACDL is not just technology, it is a bet about your team. What problem it really solves, why a simple model is often stronger, and the central trade-off.</t>
        </is>
      </c>
      <c r="J49" s="13" t="inlineStr">
        <is>
          <t>Yes</t>
        </is>
      </c>
      <c r="K49" s="13" t="n">
        <v>0</v>
      </c>
      <c r="L49" s="13" t="n">
        <v>153</v>
      </c>
      <c r="M49" s="13" t="inlineStr">
        <is>
          <t>Yes</t>
        </is>
      </c>
      <c r="N49" s="13" t="inlineStr">
        <is>
          <t>Yes</t>
        </is>
      </c>
      <c r="O49" s="13" t="inlineStr">
        <is>
          <t>Locked</t>
        </is>
      </c>
    </row>
    <row r="50" ht="15" customHeight="1" s="11">
      <c r="A50" s="13" t="inlineStr">
        <is>
          <t>Collect</t>
        </is>
      </c>
      <c r="B50" s="13" t="inlineStr">
        <is>
          <t>data-layers</t>
        </is>
      </c>
      <c r="C50" s="13" t="n">
        <v>4</v>
      </c>
      <c r="D50" s="13" t="inlineStr">
        <is>
          <t>Data Layer Design</t>
        </is>
      </c>
      <c r="E50" s="13" t="inlineStr">
        <is>
          <t>Section</t>
        </is>
      </c>
      <c r="F50" s="13" t="inlineStr">
        <is>
          <t>/adobe-analytics-learning/collect/data-layers/data-layer-design/</t>
        </is>
      </c>
      <c r="G50" s="13" t="inlineStr">
        <is>
          <t>Designing a Data Layer for Adobe Analytics</t>
        </is>
      </c>
      <c r="H50" s="13" t="inlineStr">
        <is>
          <t>Yes</t>
        </is>
      </c>
      <c r="I50" s="13" t="inlineStr">
        <is>
          <t>This section is not yet written.</t>
        </is>
      </c>
      <c r="J50" s="13" t="inlineStr">
        <is>
          <t>Yes</t>
        </is>
      </c>
      <c r="K50" s="13" t="n">
        <v>42</v>
      </c>
      <c r="L50" s="13" t="n">
        <v>32</v>
      </c>
      <c r="M50" s="13" t="inlineStr">
        <is>
          <t>No</t>
        </is>
      </c>
      <c r="N50" s="13" t="inlineStr">
        <is>
          <t>No</t>
        </is>
      </c>
      <c r="O50" s="13">
        <f>IF(AND(H50="Yes",J50="Yes",M50="Yes",N50="Yes"),"Yes","No")</f>
        <v/>
      </c>
    </row>
    <row r="51" ht="15" customHeight="1" s="11">
      <c r="A51" s="13" t="inlineStr">
        <is>
          <t>Collect</t>
        </is>
      </c>
      <c r="B51" s="13" t="inlineStr">
        <is>
          <t>tracking-calls</t>
        </is>
      </c>
      <c r="C51" s="13" t="n"/>
      <c r="D51" s="13" t="inlineStr">
        <is>
          <t>Adobe Analytics Tracking Calls</t>
        </is>
      </c>
      <c r="E51" s="13" t="inlineStr">
        <is>
          <t>Module landing</t>
        </is>
      </c>
      <c r="F51" s="13" t="inlineStr">
        <is>
          <t>/adobe-analytics-learning/collect/tracking-calls/</t>
        </is>
      </c>
      <c r="G51" s="13" t="inlineStr">
        <is>
          <t>Adobe Analytics Tracking Calls</t>
        </is>
      </c>
      <c r="H51" s="13" t="inlineStr">
        <is>
          <t>Yes</t>
        </is>
      </c>
      <c r="I51" s="13" t="inlineStr">
        <is>
          <t>Page view calls, link calls, and what each one costs you. SPA tracking, cross-domain identity, first-party cookies, and the server call bill.</t>
        </is>
      </c>
      <c r="J51" s="13" t="inlineStr">
        <is>
          <t>Yes</t>
        </is>
      </c>
      <c r="K51" s="13" t="n">
        <v>30</v>
      </c>
      <c r="L51" s="13" t="n">
        <v>141</v>
      </c>
      <c r="M51" s="13" t="inlineStr">
        <is>
          <t>No</t>
        </is>
      </c>
      <c r="N51" s="13" t="inlineStr">
        <is>
          <t>No</t>
        </is>
      </c>
      <c r="O51" s="13">
        <f>IF(AND(H51="Yes",J51="Yes",M51="Yes",N51="Yes"),"Yes","No")</f>
        <v/>
      </c>
    </row>
    <row r="52" ht="15" customHeight="1" s="11">
      <c r="A52" s="13" t="inlineStr">
        <is>
          <t>Collect</t>
        </is>
      </c>
      <c r="B52" s="13" t="inlineStr">
        <is>
          <t>tracking-calls</t>
        </is>
      </c>
      <c r="C52" s="13" t="n">
        <v>1</v>
      </c>
      <c r="D52" s="13" t="inlineStr">
        <is>
          <t>Page View Tracking</t>
        </is>
      </c>
      <c r="E52" s="13" t="inlineStr">
        <is>
          <t>Section</t>
        </is>
      </c>
      <c r="F52" s="13" t="inlineStr">
        <is>
          <t>/adobe-analytics-learning/collect/tracking-calls/page-view-tracking/</t>
        </is>
      </c>
      <c r="G52" s="13" t="inlineStr">
        <is>
          <t>Page View Tracking in Adobe Analytics (s.t())</t>
        </is>
      </c>
      <c r="H52" s="13" t="inlineStr">
        <is>
          <t>Yes</t>
        </is>
      </c>
      <c r="I52" s="13" t="inlineStr">
        <is>
          <t>The page view call, s.t(). Why there are two kinds of call at all, what a page view actually tells you, and the moment it fires.</t>
        </is>
      </c>
      <c r="J52" s="13" t="inlineStr">
        <is>
          <t>Yes</t>
        </is>
      </c>
      <c r="K52" s="13" t="n">
        <v>45</v>
      </c>
      <c r="L52" s="13" t="n">
        <v>128</v>
      </c>
      <c r="M52" s="13" t="inlineStr">
        <is>
          <t>Yes</t>
        </is>
      </c>
      <c r="N52" s="13" t="inlineStr">
        <is>
          <t>Yes</t>
        </is>
      </c>
      <c r="O52" s="13" t="inlineStr">
        <is>
          <t>Locked</t>
        </is>
      </c>
    </row>
    <row r="53" ht="15" customHeight="1" s="11">
      <c r="A53" s="13" t="inlineStr">
        <is>
          <t>Collect</t>
        </is>
      </c>
      <c r="B53" s="13" t="inlineStr">
        <is>
          <t>tracking-calls</t>
        </is>
      </c>
      <c r="C53" s="13" t="n">
        <v>2</v>
      </c>
      <c r="D53" s="13" t="inlineStr">
        <is>
          <t>Link Tracking</t>
        </is>
      </c>
      <c r="E53" s="13" t="inlineStr">
        <is>
          <t>Section</t>
        </is>
      </c>
      <c r="F53" s="13" t="inlineStr">
        <is>
          <t>/adobe-analytics-learning/collect/tracking-calls/link-tracking/</t>
        </is>
      </c>
      <c r="G53" s="13" t="inlineStr">
        <is>
          <t>Link Tracking in Adobe Analytics (s.tl())</t>
        </is>
      </c>
      <c r="H53" s="13" t="inlineStr">
        <is>
          <t>Yes</t>
        </is>
      </c>
      <c r="I53" s="13" t="inlineStr">
        <is>
          <t>The custom link call, s.tl(). Why these calls carry the real weight of an implementation, the three link types, and how they differ from a page call.</t>
        </is>
      </c>
      <c r="J53" s="13" t="inlineStr">
        <is>
          <t>Yes</t>
        </is>
      </c>
      <c r="K53" s="13" t="n">
        <v>41</v>
      </c>
      <c r="L53" s="13" t="n">
        <v>149</v>
      </c>
      <c r="M53" s="13" t="inlineStr">
        <is>
          <t>Yes</t>
        </is>
      </c>
      <c r="N53" s="13" t="inlineStr">
        <is>
          <t>Yes</t>
        </is>
      </c>
      <c r="O53" s="13" t="inlineStr">
        <is>
          <t>Locked</t>
        </is>
      </c>
    </row>
    <row r="54" ht="15" customHeight="1" s="11">
      <c r="A54" s="13" t="inlineStr">
        <is>
          <t>Collect</t>
        </is>
      </c>
      <c r="B54" s="13" t="inlineStr">
        <is>
          <t>tracking-calls</t>
        </is>
      </c>
      <c r="C54" s="13" t="n">
        <v>3</v>
      </c>
      <c r="D54" s="13" t="inlineStr">
        <is>
          <t>Server Calls and Billing</t>
        </is>
      </c>
      <c r="E54" s="13" t="inlineStr">
        <is>
          <t>Section</t>
        </is>
      </c>
      <c r="F54" s="13" t="inlineStr">
        <is>
          <t>/adobe-analytics-learning/collect/tracking-calls/server-calls-billing/</t>
        </is>
      </c>
      <c r="G54" s="13" t="inlineStr">
        <is>
          <t>Adobe Analytics Server Calls and Billing</t>
        </is>
      </c>
      <c r="H54" s="13" t="inlineStr">
        <is>
          <t>Yes</t>
        </is>
      </c>
      <c r="I54" s="13" t="inlineStr">
        <is>
          <t>Every hit is a server call, and every server call is billed. What counts, how calls balloon, and the architectural levers that bring the bill back down.</t>
        </is>
      </c>
      <c r="J54" s="13" t="inlineStr">
        <is>
          <t>Yes</t>
        </is>
      </c>
      <c r="K54" s="13" t="n">
        <v>40</v>
      </c>
      <c r="L54" s="13" t="n">
        <v>152</v>
      </c>
      <c r="M54" s="13" t="inlineStr">
        <is>
          <t>Yes</t>
        </is>
      </c>
      <c r="N54" s="13" t="inlineStr">
        <is>
          <t>Yes</t>
        </is>
      </c>
      <c r="O54" s="13" t="inlineStr">
        <is>
          <t>Locked</t>
        </is>
      </c>
    </row>
    <row r="55" ht="15" customHeight="1" s="11">
      <c r="A55" s="13" t="inlineStr">
        <is>
          <t>Collect</t>
        </is>
      </c>
      <c r="B55" s="13" t="inlineStr">
        <is>
          <t>tracking-calls</t>
        </is>
      </c>
      <c r="C55" s="13" t="n">
        <v>4</v>
      </c>
      <c r="D55" s="13" t="inlineStr">
        <is>
          <t>SPA Tracking</t>
        </is>
      </c>
      <c r="E55" s="13" t="inlineStr">
        <is>
          <t>Section</t>
        </is>
      </c>
      <c r="F55" s="13" t="inlineStr">
        <is>
          <t>/adobe-analytics-learning/collect/tracking-calls/spa-tracking/</t>
        </is>
      </c>
      <c r="G55" s="13" t="inlineStr">
        <is>
          <t>SPA Tracking in Adobe Analytics</t>
        </is>
      </c>
      <c r="H55" s="13" t="inlineStr">
        <is>
          <t>Yes</t>
        </is>
      </c>
      <c r="I55" s="13" t="inlineStr">
        <is>
          <t>Single page applications break analytics in two distinct ways. How to tell Adobe a screen changed, how to fix persistence, and why mobile sidesteps it all.</t>
        </is>
      </c>
      <c r="J55" s="13" t="inlineStr">
        <is>
          <t>Yes</t>
        </is>
      </c>
      <c r="K55" s="13" t="n">
        <v>31</v>
      </c>
      <c r="L55" s="13" t="n">
        <v>155</v>
      </c>
      <c r="M55" s="13" t="inlineStr">
        <is>
          <t>Yes</t>
        </is>
      </c>
      <c r="N55" s="13" t="inlineStr">
        <is>
          <t>Yes</t>
        </is>
      </c>
      <c r="O55" s="13" t="inlineStr">
        <is>
          <t>Locked</t>
        </is>
      </c>
    </row>
    <row r="56" ht="15" customHeight="1" s="11">
      <c r="A56" s="13" t="inlineStr">
        <is>
          <t>Collect</t>
        </is>
      </c>
      <c r="B56" s="13" t="inlineStr">
        <is>
          <t>tracking-calls</t>
        </is>
      </c>
      <c r="C56" s="13" t="n">
        <v>5</v>
      </c>
      <c r="D56" s="13" t="inlineStr">
        <is>
          <t>Experience Cloud ID (ECID)</t>
        </is>
      </c>
      <c r="E56" s="13" t="inlineStr">
        <is>
          <t>Section</t>
        </is>
      </c>
      <c r="F56" s="13" t="inlineStr">
        <is>
          <t>/adobe-analytics-learning/collect/tracking-calls/experience-cloud-id-ecid/</t>
        </is>
      </c>
      <c r="G56" s="13" t="inlineStr">
        <is>
          <t>Experience Cloud ID (ECID) in Adobe Analytics</t>
        </is>
      </c>
      <c r="H56" s="13" t="inlineStr">
        <is>
          <t>Yes</t>
        </is>
      </c>
      <c r="I56" s="13" t="inlineStr">
        <is>
          <t>This section is not yet written.</t>
        </is>
      </c>
      <c r="J56" s="13" t="inlineStr">
        <is>
          <t>Yes</t>
        </is>
      </c>
      <c r="K56" s="13" t="n">
        <v>45</v>
      </c>
      <c r="L56" s="13" t="n">
        <v>32</v>
      </c>
      <c r="M56" s="13" t="inlineStr">
        <is>
          <t>No</t>
        </is>
      </c>
      <c r="N56" s="13" t="inlineStr">
        <is>
          <t>No</t>
        </is>
      </c>
      <c r="O56" s="13">
        <f>IF(AND(H56="Yes",J56="Yes",M56="Yes",N56="Yes"),"Yes","No")</f>
        <v/>
      </c>
    </row>
    <row r="57" ht="15" customHeight="1" s="11">
      <c r="A57" s="13" t="inlineStr">
        <is>
          <t>Collect</t>
        </is>
      </c>
      <c r="B57" s="13" t="inlineStr">
        <is>
          <t>tracking-calls</t>
        </is>
      </c>
      <c r="C57" s="13" t="n">
        <v>6</v>
      </c>
      <c r="D57" s="13" t="inlineStr">
        <is>
          <t>Cross-Domain Tracking</t>
        </is>
      </c>
      <c r="E57" s="13" t="inlineStr">
        <is>
          <t>Section</t>
        </is>
      </c>
      <c r="F57" s="13" t="inlineStr">
        <is>
          <t>/adobe-analytics-learning/collect/tracking-calls/cross-domain-tracking/</t>
        </is>
      </c>
      <c r="G57" s="13" t="inlineStr">
        <is>
          <t>Cross-Domain Tracking in Adobe Analytics</t>
        </is>
      </c>
      <c r="H57" s="13" t="inlineStr">
        <is>
          <t>Yes</t>
        </is>
      </c>
      <c r="I57" s="13" t="inlineStr">
        <is>
          <t>Why one visitor becomes two the moment they cross a domain, even with identical tags. How to carry the identity across, and the mistakes people make.</t>
        </is>
      </c>
      <c r="J57" s="13" t="inlineStr">
        <is>
          <t>Yes</t>
        </is>
      </c>
      <c r="K57" s="13" t="n">
        <v>40</v>
      </c>
      <c r="L57" s="13" t="n">
        <v>149</v>
      </c>
      <c r="M57" s="13" t="inlineStr">
        <is>
          <t>Yes</t>
        </is>
      </c>
      <c r="N57" s="13" t="inlineStr">
        <is>
          <t>Yes</t>
        </is>
      </c>
      <c r="O57" s="13" t="inlineStr">
        <is>
          <t>Locked</t>
        </is>
      </c>
    </row>
    <row r="58" ht="15" customHeight="1" s="11">
      <c r="A58" s="13" t="inlineStr">
        <is>
          <t>Collect</t>
        </is>
      </c>
      <c r="B58" s="13" t="inlineStr">
        <is>
          <t>tracking-calls</t>
        </is>
      </c>
      <c r="C58" s="13" t="n">
        <v>7</v>
      </c>
      <c r="D58" s="13" t="inlineStr">
        <is>
          <t>First-Party Cookies</t>
        </is>
      </c>
      <c r="E58" s="13" t="inlineStr">
        <is>
          <t>Section</t>
        </is>
      </c>
      <c r="F58" s="13" t="inlineStr">
        <is>
          <t>/adobe-analytics-learning/collect/tracking-calls/first-party-cookies/</t>
        </is>
      </c>
      <c r="G58" s="13" t="inlineStr">
        <is>
          <t>First-Party Cookies in Adobe Analytics</t>
        </is>
      </c>
      <c r="H58" s="13" t="inlineStr">
        <is>
          <t>Yes</t>
        </is>
      </c>
      <c r="I58" s="13" t="inlineStr">
        <is>
          <t>First-party cookies are not the same as durable identity. Why identity keeps disappearing, the older fix that no longer holds, and the durable answer today.</t>
        </is>
      </c>
      <c r="J58" s="13" t="inlineStr">
        <is>
          <t>Yes</t>
        </is>
      </c>
      <c r="K58" s="13" t="n">
        <v>38</v>
      </c>
      <c r="L58" s="13" t="n">
        <v>156</v>
      </c>
      <c r="M58" s="13" t="inlineStr">
        <is>
          <t>Yes</t>
        </is>
      </c>
      <c r="N58" s="13" t="inlineStr">
        <is>
          <t>Yes</t>
        </is>
      </c>
      <c r="O58" s="13" t="inlineStr">
        <is>
          <t>Locked</t>
        </is>
      </c>
    </row>
    <row r="59" ht="15" customHeight="1" s="11">
      <c r="A59" s="13" t="inlineStr">
        <is>
          <t>Shape</t>
        </is>
      </c>
      <c r="B59" s="13" t="n"/>
      <c r="C59" s="13" t="n"/>
      <c r="D59" s="13" t="inlineStr">
        <is>
          <t>Shape the data</t>
        </is>
      </c>
      <c r="E59" s="13" t="inlineStr">
        <is>
          <t>Category landing</t>
        </is>
      </c>
      <c r="F59" s="13" t="inlineStr">
        <is>
          <t>/adobe-analytics-learning/shape/</t>
        </is>
      </c>
      <c r="G59" s="13" t="inlineStr">
        <is>
          <t>Shaping Data in Adobe Analytics</t>
        </is>
      </c>
      <c r="H59" s="13" t="inlineStr">
        <is>
          <t>Yes</t>
        </is>
      </c>
      <c r="I59" s="13" t="inlineStr">
        <is>
          <t>The layer between collection and reporting: processing rules, VISTA rules, marketing channels, and classifications, and the order Adobe applies them.</t>
        </is>
      </c>
      <c r="J59" s="13" t="inlineStr">
        <is>
          <t>Yes</t>
        </is>
      </c>
      <c r="K59" s="13" t="n">
        <v>31</v>
      </c>
      <c r="L59" s="13" t="n">
        <v>149</v>
      </c>
      <c r="M59" s="13" t="inlineStr">
        <is>
          <t>No</t>
        </is>
      </c>
      <c r="N59" s="13" t="inlineStr">
        <is>
          <t>No</t>
        </is>
      </c>
      <c r="O59" s="13">
        <f>IF(AND(H59="Yes",J59="Yes",M59="Yes",N59="Yes"),"Yes","No")</f>
        <v/>
      </c>
    </row>
    <row r="60" ht="15" customHeight="1" s="11">
      <c r="A60" s="13" t="inlineStr">
        <is>
          <t>Shape</t>
        </is>
      </c>
      <c r="B60" s="13" t="inlineStr">
        <is>
          <t>classifications</t>
        </is>
      </c>
      <c r="C60" s="13" t="n"/>
      <c r="D60" s="13" t="inlineStr">
        <is>
          <t>Classifications</t>
        </is>
      </c>
      <c r="E60" s="13" t="inlineStr">
        <is>
          <t>Module landing</t>
        </is>
      </c>
      <c r="F60" s="13" t="inlineStr">
        <is>
          <t>/adobe-analytics-learning/shape/classifications/</t>
        </is>
      </c>
      <c r="G60" s="13" t="inlineStr">
        <is>
          <t>Classifications in Adobe Analytics</t>
        </is>
      </c>
      <c r="H60" s="13" t="inlineStr">
        <is>
          <t>Yes</t>
        </is>
      </c>
      <c r="I60" s="13" t="inlineStr">
        <is>
          <t>Give collected data meaning it never carried, retroactively, without touching a line of code. Keys, sets, imports, rules, and silent failure.</t>
        </is>
      </c>
      <c r="J60" s="13" t="inlineStr">
        <is>
          <t>Yes</t>
        </is>
      </c>
      <c r="K60" s="13" t="n">
        <v>34</v>
      </c>
      <c r="L60" s="13" t="n">
        <v>141</v>
      </c>
      <c r="M60" s="13" t="inlineStr">
        <is>
          <t>No</t>
        </is>
      </c>
      <c r="N60" s="13" t="inlineStr">
        <is>
          <t>No</t>
        </is>
      </c>
      <c r="O60" s="13">
        <f>IF(AND(H60="Yes",J60="Yes",M60="Yes",N60="Yes"),"Yes","No")</f>
        <v/>
      </c>
    </row>
    <row r="61" ht="15" customHeight="1" s="11">
      <c r="A61" s="13" t="inlineStr">
        <is>
          <t>Shape</t>
        </is>
      </c>
      <c r="B61" s="13" t="inlineStr">
        <is>
          <t>classifications</t>
        </is>
      </c>
      <c r="C61" s="13" t="n">
        <v>1</v>
      </c>
      <c r="D61" s="13" t="inlineStr">
        <is>
          <t>Classifications Overview</t>
        </is>
      </c>
      <c r="E61" s="13" t="inlineStr">
        <is>
          <t>Section</t>
        </is>
      </c>
      <c r="F61" s="13" t="inlineStr">
        <is>
          <t>/adobe-analytics-learning/shape/classifications/classifications-overview/</t>
        </is>
      </c>
      <c r="G61" s="13" t="n"/>
      <c r="H61" s="13" t="inlineStr">
        <is>
          <t>No</t>
        </is>
      </c>
      <c r="I61" s="13" t="inlineStr">
        <is>
          <t>Adobe Analytics can only report what a server call carried. Classifications get around that, retroactively, without a single line of code.</t>
        </is>
      </c>
      <c r="J61" s="13" t="inlineStr">
        <is>
          <t>Yes</t>
        </is>
      </c>
      <c r="K61" s="13" t="n">
        <v>0</v>
      </c>
      <c r="L61" s="13" t="n">
        <v>138</v>
      </c>
      <c r="M61" s="13" t="inlineStr">
        <is>
          <t>Yes</t>
        </is>
      </c>
      <c r="N61" s="13" t="inlineStr">
        <is>
          <t>No</t>
        </is>
      </c>
      <c r="O61" s="13">
        <f>IF(AND(H61="Yes",J61="Yes",M61="Yes",N61="Yes"),"Yes","No")</f>
        <v/>
      </c>
    </row>
    <row r="62" ht="15" customHeight="1" s="11">
      <c r="A62" s="13" t="inlineStr">
        <is>
          <t>Shape</t>
        </is>
      </c>
      <c r="B62" s="13" t="inlineStr">
        <is>
          <t>classifications</t>
        </is>
      </c>
      <c r="C62" s="13" t="n">
        <v>2</v>
      </c>
      <c r="D62" s="13" t="inlineStr">
        <is>
          <t>Designing the Key</t>
        </is>
      </c>
      <c r="E62" s="13" t="inlineStr">
        <is>
          <t>Section</t>
        </is>
      </c>
      <c r="F62" s="13" t="inlineStr">
        <is>
          <t>/adobe-analytics-learning/shape/classifications/designing-the-key/</t>
        </is>
      </c>
      <c r="G62" s="13" t="n"/>
      <c r="H62" s="13" t="inlineStr">
        <is>
          <t>No</t>
        </is>
      </c>
      <c r="I62" s="13" t="inlineStr">
        <is>
          <t>The key is not a setting. It is the raw value you already collect. Five rules that decide whether classifications work for you or against you.</t>
        </is>
      </c>
      <c r="J62" s="13" t="inlineStr">
        <is>
          <t>Yes</t>
        </is>
      </c>
      <c r="K62" s="13" t="n">
        <v>0</v>
      </c>
      <c r="L62" s="13" t="n">
        <v>142</v>
      </c>
      <c r="M62" s="13" t="inlineStr">
        <is>
          <t>Yes</t>
        </is>
      </c>
      <c r="N62" s="13" t="inlineStr">
        <is>
          <t>No</t>
        </is>
      </c>
      <c r="O62" s="13">
        <f>IF(AND(H62="Yes",J62="Yes",M62="Yes",N62="Yes"),"Yes","No")</f>
        <v/>
      </c>
    </row>
    <row r="63" ht="15" customHeight="1" s="11">
      <c r="A63" s="13" t="inlineStr">
        <is>
          <t>Shape</t>
        </is>
      </c>
      <c r="B63" s="13" t="inlineStr">
        <is>
          <t>classifications</t>
        </is>
      </c>
      <c r="C63" s="13" t="n">
        <v>3</v>
      </c>
      <c r="D63" s="13" t="inlineStr">
        <is>
          <t>Classification Sets</t>
        </is>
      </c>
      <c r="E63" s="13" t="inlineStr">
        <is>
          <t>Section</t>
        </is>
      </c>
      <c r="F63" s="13" t="inlineStr">
        <is>
          <t>/adobe-analytics-learning/shape/classifications/classification-sets/</t>
        </is>
      </c>
      <c r="G63" s="13" t="n"/>
      <c r="H63" s="13" t="inlineStr">
        <is>
          <t>No</t>
        </is>
      </c>
      <c r="I63" s="13" t="inlineStr">
        <is>
          <t>Creating a classification set, step by step: subscriptions, the schema, primary and lookup types, and the identity name you can never change.</t>
        </is>
      </c>
      <c r="J63" s="13" t="inlineStr">
        <is>
          <t>Yes</t>
        </is>
      </c>
      <c r="K63" s="13" t="n">
        <v>0</v>
      </c>
      <c r="L63" s="13" t="n">
        <v>141</v>
      </c>
      <c r="M63" s="13" t="inlineStr">
        <is>
          <t>Yes</t>
        </is>
      </c>
      <c r="N63" s="13" t="inlineStr">
        <is>
          <t>No</t>
        </is>
      </c>
      <c r="O63" s="13">
        <f>IF(AND(H63="Yes",J63="Yes",M63="Yes",N63="Yes"),"Yes","No")</f>
        <v/>
      </c>
    </row>
    <row r="64" ht="15" customHeight="1" s="11">
      <c r="A64" s="13" t="inlineStr">
        <is>
          <t>Shape</t>
        </is>
      </c>
      <c r="B64" s="13" t="inlineStr">
        <is>
          <t>classifications</t>
        </is>
      </c>
      <c r="C64" s="13" t="n">
        <v>4</v>
      </c>
      <c r="D64" s="13" t="inlineStr">
        <is>
          <t>Importing Classification Data</t>
        </is>
      </c>
      <c r="E64" s="13" t="inlineStr">
        <is>
          <t>Section</t>
        </is>
      </c>
      <c r="F64" s="13" t="inlineStr">
        <is>
          <t>/adobe-analytics-learning/shape/classifications/importing-classification-data/</t>
        </is>
      </c>
      <c r="G64" s="13" t="n"/>
      <c r="H64" s="13" t="inlineStr">
        <is>
          <t>No</t>
        </is>
      </c>
      <c r="I64" s="13" t="inlineStr">
        <is>
          <t>A key column and some value columns. The file formats, the template that prevents most failures, deleting data safely, and automating it from cloud storage.</t>
        </is>
      </c>
      <c r="J64" s="13" t="inlineStr">
        <is>
          <t>Yes</t>
        </is>
      </c>
      <c r="K64" s="13" t="n">
        <v>0</v>
      </c>
      <c r="L64" s="13" t="n">
        <v>156</v>
      </c>
      <c r="M64" s="13" t="inlineStr">
        <is>
          <t>Yes</t>
        </is>
      </c>
      <c r="N64" s="13" t="inlineStr">
        <is>
          <t>No</t>
        </is>
      </c>
      <c r="O64" s="13">
        <f>IF(AND(H64="Yes",J64="Yes",M64="Yes",N64="Yes"),"Yes","No")</f>
        <v/>
      </c>
    </row>
    <row r="65" ht="15" customHeight="1" s="11">
      <c r="A65" s="13" t="inlineStr">
        <is>
          <t>Shape</t>
        </is>
      </c>
      <c r="B65" s="13" t="inlineStr">
        <is>
          <t>classifications</t>
        </is>
      </c>
      <c r="C65" s="13" t="n">
        <v>5</v>
      </c>
      <c r="D65" s="13" t="inlineStr">
        <is>
          <t>Classification Rule Builder</t>
        </is>
      </c>
      <c r="E65" s="13" t="inlineStr">
        <is>
          <t>Section</t>
        </is>
      </c>
      <c r="F65" s="13" t="inlineStr">
        <is>
          <t>/adobe-analytics-learning/shape/classifications/classification-rule-builder/</t>
        </is>
      </c>
      <c r="G65" s="13" t="n"/>
      <c r="H65" s="13" t="inlineStr">
        <is>
          <t>No</t>
        </is>
      </c>
      <c r="I65" s="13" t="inlineStr">
        <is>
          <t>Rules read the key you already have and fill the columns for you. Split, regular expressions, rule order, and the rule that quietly eats your curated file.</t>
        </is>
      </c>
      <c r="J65" s="13" t="inlineStr">
        <is>
          <t>Yes</t>
        </is>
      </c>
      <c r="K65" s="13" t="n">
        <v>0</v>
      </c>
      <c r="L65" s="13" t="n">
        <v>155</v>
      </c>
      <c r="M65" s="13" t="inlineStr">
        <is>
          <t>Yes</t>
        </is>
      </c>
      <c r="N65" s="13" t="inlineStr">
        <is>
          <t>No</t>
        </is>
      </c>
      <c r="O65" s="13">
        <f>IF(AND(H65="Yes",J65="Yes",M65="Yes",N65="Yes"),"Yes","No")</f>
        <v/>
      </c>
    </row>
    <row r="66" ht="15" customHeight="1" s="11">
      <c r="A66" s="13" t="inlineStr">
        <is>
          <t>Shape</t>
        </is>
      </c>
      <c r="B66" s="13" t="inlineStr">
        <is>
          <t>classifications</t>
        </is>
      </c>
      <c r="C66" s="13" t="n">
        <v>6</v>
      </c>
      <c r="D66" s="13" t="inlineStr">
        <is>
          <t>Troubleshooting and Maintenance</t>
        </is>
      </c>
      <c r="E66" s="13" t="inlineStr">
        <is>
          <t>Section</t>
        </is>
      </c>
      <c r="F66" s="13" t="inlineStr">
        <is>
          <t>/adobe-analytics-learning/shape/classifications/troubleshooting-maintenance/</t>
        </is>
      </c>
      <c r="G66" s="13" t="n"/>
      <c r="H66" s="13" t="inlineStr">
        <is>
          <t>No</t>
        </is>
      </c>
      <c r="I66" s="13" t="inlineStr">
        <is>
          <t>Classifications do not break. They produce a confident, well-formatted, wrong report. The symptoms, the causes, and why Unspecified is your only witness.</t>
        </is>
      </c>
      <c r="J66" s="13" t="inlineStr">
        <is>
          <t>Yes</t>
        </is>
      </c>
      <c r="K66" s="13" t="n">
        <v>0</v>
      </c>
      <c r="L66" s="13" t="n">
        <v>153</v>
      </c>
      <c r="M66" s="13" t="inlineStr">
        <is>
          <t>Yes</t>
        </is>
      </c>
      <c r="N66" s="13" t="inlineStr">
        <is>
          <t>No</t>
        </is>
      </c>
      <c r="O66" s="13">
        <f>IF(AND(H66="Yes",J66="Yes",M66="Yes",N66="Yes"),"Yes","No")</f>
        <v/>
      </c>
    </row>
    <row r="67" ht="15" customHeight="1" s="11">
      <c r="A67" s="13" t="inlineStr">
        <is>
          <t>Shape</t>
        </is>
      </c>
      <c r="B67" s="13" t="inlineStr">
        <is>
          <t>marketing-channels</t>
        </is>
      </c>
      <c r="C67" s="13" t="n"/>
      <c r="D67" s="13" t="inlineStr">
        <is>
          <t>Marketing Channels</t>
        </is>
      </c>
      <c r="E67" s="13" t="inlineStr">
        <is>
          <t>Module landing</t>
        </is>
      </c>
      <c r="F67" s="13" t="inlineStr">
        <is>
          <t>/adobe-analytics-learning/shape/marketing-channels/</t>
        </is>
      </c>
      <c r="G67" s="13" t="inlineStr">
        <is>
          <t>Marketing Channels in Adobe Analytics</t>
        </is>
      </c>
      <c r="H67" s="13" t="inlineStr">
        <is>
          <t>Yes</t>
        </is>
      </c>
      <c r="I67" s="13" t="inlineStr">
        <is>
          <t>Where your traffic actually came from. Channel rules, the processing waterfall, attribution models, engagement periods, and why Direct lies to you.</t>
        </is>
      </c>
      <c r="J67" s="13" t="inlineStr">
        <is>
          <t>Yes</t>
        </is>
      </c>
      <c r="K67" s="13" t="n">
        <v>37</v>
      </c>
      <c r="L67" s="13" t="n">
        <v>147</v>
      </c>
      <c r="M67" s="13" t="inlineStr">
        <is>
          <t>No</t>
        </is>
      </c>
      <c r="N67" s="13" t="inlineStr">
        <is>
          <t>No</t>
        </is>
      </c>
      <c r="O67" s="13">
        <f>IF(AND(H67="Yes",J67="Yes",M67="Yes",N67="Yes"),"Yes","No")</f>
        <v/>
      </c>
    </row>
    <row r="68" ht="15" customHeight="1" s="11">
      <c r="A68" s="13" t="inlineStr">
        <is>
          <t>Shape</t>
        </is>
      </c>
      <c r="B68" s="13" t="inlineStr">
        <is>
          <t>marketing-channels</t>
        </is>
      </c>
      <c r="C68" s="13" t="n">
        <v>1</v>
      </c>
      <c r="D68" s="13" t="inlineStr">
        <is>
          <t>Marketing Channels Overview</t>
        </is>
      </c>
      <c r="E68" s="13" t="inlineStr">
        <is>
          <t>Section</t>
        </is>
      </c>
      <c r="F68" s="13" t="inlineStr">
        <is>
          <t>/adobe-analytics-learning/shape/marketing-channels/marketing-channels-overview/</t>
        </is>
      </c>
      <c r="G68" s="13" t="inlineStr">
        <is>
          <t>Marketing Channels Overview in Adobe Analytics</t>
        </is>
      </c>
      <c r="H68" s="13" t="inlineStr">
        <is>
          <t>Yes</t>
        </is>
      </c>
      <c r="I68" s="13" t="inlineStr">
        <is>
          <t>Why Adobe built Marketing Channels when campaign tracking codes already existed, and what the report is actually answering.</t>
        </is>
      </c>
      <c r="J68" s="13" t="inlineStr">
        <is>
          <t>Yes</t>
        </is>
      </c>
      <c r="K68" s="13" t="n">
        <v>46</v>
      </c>
      <c r="L68" s="13" t="n">
        <v>123</v>
      </c>
      <c r="M68" s="13" t="inlineStr">
        <is>
          <t>Yes</t>
        </is>
      </c>
      <c r="N68" s="13" t="inlineStr">
        <is>
          <t>Yes</t>
        </is>
      </c>
      <c r="O68" s="13" t="inlineStr">
        <is>
          <t>Locked</t>
        </is>
      </c>
    </row>
    <row r="69" ht="15" customHeight="1" s="11">
      <c r="A69" s="13" t="inlineStr">
        <is>
          <t>Shape</t>
        </is>
      </c>
      <c r="B69" s="13" t="inlineStr">
        <is>
          <t>marketing-channels</t>
        </is>
      </c>
      <c r="C69" s="13" t="n">
        <v>2</v>
      </c>
      <c r="D69" s="13" t="inlineStr">
        <is>
          <t>Channel Configuration</t>
        </is>
      </c>
      <c r="E69" s="13" t="inlineStr">
        <is>
          <t>Section</t>
        </is>
      </c>
      <c r="F69" s="13" t="inlineStr">
        <is>
          <t>/adobe-analytics-learning/shape/marketing-channels/channel-configuration/</t>
        </is>
      </c>
      <c r="G69" s="13" t="inlineStr">
        <is>
          <t>Marketing Channel Configuration in Adobe Analytics</t>
        </is>
      </c>
      <c r="H69" s="13" t="inlineStr">
        <is>
          <t>Yes</t>
        </is>
      </c>
      <c r="I69" s="13" t="inlineStr">
        <is>
          <t>Naming the channels your business genuinely has, which ones are mandatory, and why this decision is close to permanent once traffic starts flowing.</t>
        </is>
      </c>
      <c r="J69" s="13" t="inlineStr">
        <is>
          <t>Yes</t>
        </is>
      </c>
      <c r="K69" s="13" t="n">
        <v>50</v>
      </c>
      <c r="L69" s="13" t="n">
        <v>147</v>
      </c>
      <c r="M69" s="13" t="inlineStr">
        <is>
          <t>Yes</t>
        </is>
      </c>
      <c r="N69" s="13" t="inlineStr">
        <is>
          <t>Yes</t>
        </is>
      </c>
      <c r="O69" s="13" t="inlineStr">
        <is>
          <t>Locked</t>
        </is>
      </c>
    </row>
    <row r="70" ht="15" customHeight="1" s="11">
      <c r="A70" s="13" t="inlineStr">
        <is>
          <t>Shape</t>
        </is>
      </c>
      <c r="B70" s="13" t="inlineStr">
        <is>
          <t>marketing-channels</t>
        </is>
      </c>
      <c r="C70" s="13" t="n">
        <v>3</v>
      </c>
      <c r="D70" s="13" t="inlineStr">
        <is>
          <t>Marketing Channel Processing Rules</t>
        </is>
      </c>
      <c r="E70" s="13" t="inlineStr">
        <is>
          <t>Section</t>
        </is>
      </c>
      <c r="F70" s="13" t="inlineStr">
        <is>
          <t>/adobe-analytics-learning/shape/marketing-channels/marketing-channel-processing-rules/</t>
        </is>
      </c>
      <c r="G70" s="13" t="inlineStr">
        <is>
          <t>Marketing Channel Processing Rules in Adobe Analytics</t>
        </is>
      </c>
      <c r="H70" s="13" t="inlineStr">
        <is>
          <t>Yes</t>
        </is>
      </c>
      <c r="I70" s="13" t="inlineStr">
        <is>
          <t>Marketing channel processing rules run as a waterfall, and order decides everything. What you can match on, and the three facts that will save you.</t>
        </is>
      </c>
      <c r="J70" s="13" t="inlineStr">
        <is>
          <t>Yes</t>
        </is>
      </c>
      <c r="K70" s="13" t="n">
        <v>53</v>
      </c>
      <c r="L70" s="13" t="n">
        <v>147</v>
      </c>
      <c r="M70" s="13" t="inlineStr">
        <is>
          <t>Yes</t>
        </is>
      </c>
      <c r="N70" s="13" t="inlineStr">
        <is>
          <t>Yes</t>
        </is>
      </c>
      <c r="O70" s="13" t="inlineStr">
        <is>
          <t>Locked</t>
        </is>
      </c>
    </row>
    <row r="71" ht="15" customHeight="1" s="11">
      <c r="A71" s="13" t="inlineStr">
        <is>
          <t>Shape</t>
        </is>
      </c>
      <c r="B71" s="13" t="inlineStr">
        <is>
          <t>marketing-channels</t>
        </is>
      </c>
      <c r="C71" s="13" t="n">
        <v>4</v>
      </c>
      <c r="D71" s="13" t="inlineStr">
        <is>
          <t>Channel Attribution</t>
        </is>
      </c>
      <c r="E71" s="13" t="inlineStr">
        <is>
          <t>Section</t>
        </is>
      </c>
      <c r="F71" s="13" t="inlineStr">
        <is>
          <t>/adobe-analytics-learning/shape/marketing-channels/channel-attribution/</t>
        </is>
      </c>
      <c r="G71" s="13" t="inlineStr">
        <is>
          <t>Marketing Channel Attribution in Adobe Analytics</t>
        </is>
      </c>
      <c r="H71" s="13" t="inlineStr">
        <is>
          <t>Yes</t>
        </is>
      </c>
      <c r="I71" s="13" t="inlineStr">
        <is>
          <t>First touch, last touch, and everything between. Every attribution model Adobe offers, the same journey scored four ways, and how to choose.</t>
        </is>
      </c>
      <c r="J71" s="13" t="inlineStr">
        <is>
          <t>Yes</t>
        </is>
      </c>
      <c r="K71" s="13" t="n">
        <v>48</v>
      </c>
      <c r="L71" s="13" t="n">
        <v>140</v>
      </c>
      <c r="M71" s="13" t="inlineStr">
        <is>
          <t>Yes</t>
        </is>
      </c>
      <c r="N71" s="13" t="inlineStr">
        <is>
          <t>Yes</t>
        </is>
      </c>
      <c r="O71" s="13" t="inlineStr">
        <is>
          <t>Locked</t>
        </is>
      </c>
    </row>
    <row r="72" ht="15" customHeight="1" s="11">
      <c r="A72" s="13" t="inlineStr">
        <is>
          <t>Shape</t>
        </is>
      </c>
      <c r="B72" s="13" t="inlineStr">
        <is>
          <t>marketing-channels</t>
        </is>
      </c>
      <c r="C72" s="13" t="n">
        <v>5</v>
      </c>
      <c r="D72" s="13" t="inlineStr">
        <is>
          <t>Engagement Periods</t>
        </is>
      </c>
      <c r="E72" s="13" t="inlineStr">
        <is>
          <t>Section</t>
        </is>
      </c>
      <c r="F72" s="13" t="inlineStr">
        <is>
          <t>/adobe-analytics-learning/shape/marketing-channels/engagement-periods/</t>
        </is>
      </c>
      <c r="G72" s="13" t="inlineStr">
        <is>
          <t>Marketing Channel Engagement Periods in Adobe Analytics</t>
        </is>
      </c>
      <c r="H72" s="13" t="inlineStr">
        <is>
          <t>Yes</t>
        </is>
      </c>
      <c r="I72" s="13" t="inlineStr">
        <is>
          <t>Visit Engagement, Visitor Engagement, and Session Refresh. What each setting really does, and why engagement periods trip up experienced practitioners.</t>
        </is>
      </c>
      <c r="J72" s="13" t="inlineStr">
        <is>
          <t>Yes</t>
        </is>
      </c>
      <c r="K72" s="13" t="n">
        <v>55</v>
      </c>
      <c r="L72" s="13" t="n">
        <v>151</v>
      </c>
      <c r="M72" s="13" t="inlineStr">
        <is>
          <t>Yes</t>
        </is>
      </c>
      <c r="N72" s="13" t="inlineStr">
        <is>
          <t>Yes</t>
        </is>
      </c>
      <c r="O72" s="13" t="inlineStr">
        <is>
          <t>Locked</t>
        </is>
      </c>
    </row>
    <row r="73" ht="15" customHeight="1" s="11">
      <c r="A73" s="13" t="inlineStr">
        <is>
          <t>Shape</t>
        </is>
      </c>
      <c r="B73" s="13" t="inlineStr">
        <is>
          <t>marketing-channels</t>
        </is>
      </c>
      <c r="C73" s="13" t="n">
        <v>6</v>
      </c>
      <c r="D73" s="13" t="inlineStr">
        <is>
          <t>Marketing Channel Troubleshooting</t>
        </is>
      </c>
      <c r="E73" s="13" t="inlineStr">
        <is>
          <t>Section</t>
        </is>
      </c>
      <c r="F73" s="13" t="inlineStr">
        <is>
          <t>/adobe-analytics-learning/shape/marketing-channels/marketing-channel-troubleshooting/</t>
        </is>
      </c>
      <c r="G73" s="13" t="inlineStr">
        <is>
          <t>Marketing Channel Troubleshooting in Adobe Analytics</t>
        </is>
      </c>
      <c r="H73" s="13" t="inlineStr">
        <is>
          <t>Yes</t>
        </is>
      </c>
      <c r="I73" s="13" t="inlineStr">
        <is>
          <t>Marketing channel reports fail quietly and confidently. The seven ways this breaks, the instruments to check, and the order to check them in.</t>
        </is>
      </c>
      <c r="J73" s="13" t="inlineStr">
        <is>
          <t>Yes</t>
        </is>
      </c>
      <c r="K73" s="13" t="n">
        <v>52</v>
      </c>
      <c r="L73" s="13" t="n">
        <v>141</v>
      </c>
      <c r="M73" s="13" t="inlineStr">
        <is>
          <t>Yes</t>
        </is>
      </c>
      <c r="N73" s="13" t="inlineStr">
        <is>
          <t>Yes</t>
        </is>
      </c>
      <c r="O73" s="13" t="inlineStr">
        <is>
          <t>Locked</t>
        </is>
      </c>
    </row>
    <row r="74" ht="15" customHeight="1" s="11">
      <c r="A74" s="13" t="inlineStr">
        <is>
          <t>Shape</t>
        </is>
      </c>
      <c r="B74" s="13" t="inlineStr">
        <is>
          <t>processing-rules</t>
        </is>
      </c>
      <c r="C74" s="13" t="n"/>
      <c r="D74" s="13" t="inlineStr">
        <is>
          <t>Processing Rules</t>
        </is>
      </c>
      <c r="E74" s="13" t="inlineStr">
        <is>
          <t>Module landing</t>
        </is>
      </c>
      <c r="F74" s="13" t="inlineStr">
        <is>
          <t>/adobe-analytics-learning/shape/processing-rules/</t>
        </is>
      </c>
      <c r="G74" s="13" t="inlineStr">
        <is>
          <t>Processing Rules in Adobe Analytics</t>
        </is>
      </c>
      <c r="H74" s="13" t="inlineStr">
        <is>
          <t>Yes</t>
        </is>
      </c>
      <c r="I74" s="13" t="inlineStr">
        <is>
          <t>Processing rules reshape a hit after it arrives and before it is stored. What they can do, what they cannot undo, and when Launch is the better tool.</t>
        </is>
      </c>
      <c r="J74" s="13" t="inlineStr">
        <is>
          <t>Yes</t>
        </is>
      </c>
      <c r="K74" s="13" t="n">
        <v>35</v>
      </c>
      <c r="L74" s="13" t="n">
        <v>149</v>
      </c>
      <c r="M74" s="13" t="inlineStr">
        <is>
          <t>No</t>
        </is>
      </c>
      <c r="N74" s="13" t="inlineStr">
        <is>
          <t>No</t>
        </is>
      </c>
      <c r="O74" s="13">
        <f>IF(AND(H74="Yes",J74="Yes",M74="Yes",N74="Yes"),"Yes","No")</f>
        <v/>
      </c>
    </row>
    <row r="75" ht="15" customHeight="1" s="11">
      <c r="A75" s="13" t="inlineStr">
        <is>
          <t>Shape</t>
        </is>
      </c>
      <c r="B75" s="13" t="inlineStr">
        <is>
          <t>processing-rules</t>
        </is>
      </c>
      <c r="C75" s="13" t="n">
        <v>1</v>
      </c>
      <c r="D75" s="13" t="inlineStr">
        <is>
          <t>What Are Processing Rules</t>
        </is>
      </c>
      <c r="E75" s="13" t="inlineStr">
        <is>
          <t>Section</t>
        </is>
      </c>
      <c r="F75" s="13" t="inlineStr">
        <is>
          <t>/adobe-analytics-learning/shape/processing-rules/what-are-processing-rules/</t>
        </is>
      </c>
      <c r="G75" s="13" t="inlineStr">
        <is>
          <t>What Are Processing Rules in Adobe Analytics</t>
        </is>
      </c>
      <c r="H75" s="13" t="inlineStr">
        <is>
          <t>Yes</t>
        </is>
      </c>
      <c r="I75" s="13" t="inlineStr">
        <is>
          <t>Why anything sits between collection and reporting at all. What a processing rule is, where it runs in the pipeline, and the guardrails to understand first.</t>
        </is>
      </c>
      <c r="J75" s="13" t="inlineStr">
        <is>
          <t>Yes</t>
        </is>
      </c>
      <c r="K75" s="13" t="n">
        <v>44</v>
      </c>
      <c r="L75" s="13" t="n">
        <v>156</v>
      </c>
      <c r="M75" s="13" t="inlineStr">
        <is>
          <t>Yes</t>
        </is>
      </c>
      <c r="N75" s="13" t="inlineStr">
        <is>
          <t>Yes</t>
        </is>
      </c>
      <c r="O75" s="13" t="inlineStr">
        <is>
          <t>Locked</t>
        </is>
      </c>
    </row>
    <row r="76" ht="15" customHeight="1" s="11">
      <c r="A76" s="13" t="inlineStr">
        <is>
          <t>Shape</t>
        </is>
      </c>
      <c r="B76" s="13" t="inlineStr">
        <is>
          <t>processing-rules</t>
        </is>
      </c>
      <c r="C76" s="13" t="n">
        <v>2</v>
      </c>
      <c r="D76" s="13" t="inlineStr">
        <is>
          <t>Conditions and Actions</t>
        </is>
      </c>
      <c r="E76" s="13" t="inlineStr">
        <is>
          <t>Section</t>
        </is>
      </c>
      <c r="F76" s="13" t="inlineStr">
        <is>
          <t>/adobe-analytics-learning/shape/processing-rules/conditions-actions/</t>
        </is>
      </c>
      <c r="G76" s="13" t="inlineStr">
        <is>
          <t>Processing Rule Conditions and Actions</t>
        </is>
      </c>
      <c r="H76" s="13" t="inlineStr">
        <is>
          <t>Yes</t>
        </is>
      </c>
      <c r="I76" s="13" t="inlineStr">
        <is>
          <t>The anatomy of a processing rule. Conditions decide when it acts, actions decide what happens, and order is logic rather than layout.</t>
        </is>
      </c>
      <c r="J76" s="13" t="inlineStr">
        <is>
          <t>Yes</t>
        </is>
      </c>
      <c r="K76" s="13" t="n">
        <v>38</v>
      </c>
      <c r="L76" s="13" t="n">
        <v>133</v>
      </c>
      <c r="M76" s="13" t="inlineStr">
        <is>
          <t>Yes</t>
        </is>
      </c>
      <c r="N76" s="13" t="inlineStr">
        <is>
          <t>Yes</t>
        </is>
      </c>
      <c r="O76" s="13" t="inlineStr">
        <is>
          <t>Locked</t>
        </is>
      </c>
    </row>
    <row r="77" ht="15" customHeight="1" s="11">
      <c r="A77" s="13" t="inlineStr">
        <is>
          <t>Shape</t>
        </is>
      </c>
      <c r="B77" s="13" t="inlineStr">
        <is>
          <t>processing-rules</t>
        </is>
      </c>
      <c r="C77" s="13" t="n">
        <v>3</v>
      </c>
      <c r="D77" s="13" t="inlineStr">
        <is>
          <t>Use Cases and Examples</t>
        </is>
      </c>
      <c r="E77" s="13" t="inlineStr">
        <is>
          <t>Section</t>
        </is>
      </c>
      <c r="F77" s="13" t="inlineStr">
        <is>
          <t>/adobe-analytics-learning/shape/processing-rules/use-cases-examples/</t>
        </is>
      </c>
      <c r="G77" s="13" t="inlineStr">
        <is>
          <t>Processing Rule Use Cases and Examples</t>
        </is>
      </c>
      <c r="H77" s="13" t="inlineStr">
        <is>
          <t>Yes</t>
        </is>
      </c>
      <c r="I77" s="13" t="inlineStr">
        <is>
          <t>Five worked processing rules, built one at a time, including one that shows the moment a processing rule is the wrong tool for the job.</t>
        </is>
      </c>
      <c r="J77" s="13" t="inlineStr">
        <is>
          <t>Yes</t>
        </is>
      </c>
      <c r="K77" s="13" t="n">
        <v>38</v>
      </c>
      <c r="L77" s="13" t="n">
        <v>135</v>
      </c>
      <c r="M77" s="13" t="inlineStr">
        <is>
          <t>Yes</t>
        </is>
      </c>
      <c r="N77" s="13" t="inlineStr">
        <is>
          <t>Yes</t>
        </is>
      </c>
      <c r="O77" s="13" t="inlineStr">
        <is>
          <t>Locked</t>
        </is>
      </c>
    </row>
    <row r="78" ht="15" customHeight="1" s="11">
      <c r="A78" s="13" t="inlineStr">
        <is>
          <t>Shape</t>
        </is>
      </c>
      <c r="B78" s="13" t="inlineStr">
        <is>
          <t>processing-rules</t>
        </is>
      </c>
      <c r="C78" s="13" t="n">
        <v>4</v>
      </c>
      <c r="D78" s="13" t="inlineStr">
        <is>
          <t>Limitations and Best Practices</t>
        </is>
      </c>
      <c r="E78" s="13" t="inlineStr">
        <is>
          <t>Section</t>
        </is>
      </c>
      <c r="F78" s="13" t="inlineStr">
        <is>
          <t>/adobe-analytics-learning/shape/processing-rules/limitations-best-practices/</t>
        </is>
      </c>
      <c r="G78" s="13" t="inlineStr">
        <is>
          <t>Processing Rule Limitations and Best Practices</t>
        </is>
      </c>
      <c r="H78" s="13" t="inlineStr">
        <is>
          <t>Yes</t>
        </is>
      </c>
      <c r="I78" s="13" t="inlineStr">
        <is>
          <t>Processing rules are permanent, immediate, and not retroactive. The limits are the shape of the tool, the mistakes they invite, and when Launch is better.</t>
        </is>
      </c>
      <c r="J78" s="13" t="inlineStr">
        <is>
          <t>Yes</t>
        </is>
      </c>
      <c r="K78" s="13" t="n">
        <v>46</v>
      </c>
      <c r="L78" s="13" t="n">
        <v>154</v>
      </c>
      <c r="M78" s="13" t="inlineStr">
        <is>
          <t>Yes</t>
        </is>
      </c>
      <c r="N78" s="13" t="inlineStr">
        <is>
          <t>Yes</t>
        </is>
      </c>
      <c r="O78" s="13" t="inlineStr">
        <is>
          <t>Locked</t>
        </is>
      </c>
    </row>
    <row r="79" ht="15" customHeight="1" s="11">
      <c r="A79" s="13" t="inlineStr">
        <is>
          <t>Shape</t>
        </is>
      </c>
      <c r="B79" s="13" t="inlineStr">
        <is>
          <t>vista-rules</t>
        </is>
      </c>
      <c r="C79" s="13" t="n"/>
      <c r="D79" s="13" t="inlineStr">
        <is>
          <t>VISTA Rules</t>
        </is>
      </c>
      <c r="E79" s="13" t="inlineStr">
        <is>
          <t>Module landing</t>
        </is>
      </c>
      <c r="F79" s="13" t="inlineStr">
        <is>
          <t>/adobe-analytics-learning/shape/vista-rules/</t>
        </is>
      </c>
      <c r="G79" s="13" t="inlineStr">
        <is>
          <t>VISTA Rules in Adobe Analytics</t>
        </is>
      </c>
      <c r="H79" s="13" t="inlineStr">
        <is>
          <t>Yes</t>
        </is>
      </c>
      <c r="I79" s="13" t="inlineStr">
        <is>
          <t>What VISTA rules are, why Adobe still offers them, what they cost, and the cheaper tools you should rule out before you ever ask for one.</t>
        </is>
      </c>
      <c r="J79" s="13" t="inlineStr">
        <is>
          <t>Yes</t>
        </is>
      </c>
      <c r="K79" s="13" t="n">
        <v>30</v>
      </c>
      <c r="L79" s="13" t="n">
        <v>137</v>
      </c>
      <c r="M79" s="13" t="inlineStr">
        <is>
          <t>No</t>
        </is>
      </c>
      <c r="N79" s="13" t="inlineStr">
        <is>
          <t>No</t>
        </is>
      </c>
      <c r="O79" s="13">
        <f>IF(AND(H79="Yes",J79="Yes",M79="Yes",N79="Yes"),"Yes","No")</f>
        <v/>
      </c>
    </row>
    <row r="80" ht="15" customHeight="1" s="11">
      <c r="A80" s="13" t="inlineStr">
        <is>
          <t>Shape</t>
        </is>
      </c>
      <c r="B80" s="13" t="inlineStr">
        <is>
          <t>vista-rules</t>
        </is>
      </c>
      <c r="C80" s="13" t="n">
        <v>1</v>
      </c>
      <c r="D80" s="13" t="inlineStr">
        <is>
          <t>What Are VISTA Rules</t>
        </is>
      </c>
      <c r="E80" s="13" t="inlineStr">
        <is>
          <t>Section</t>
        </is>
      </c>
      <c r="F80" s="13" t="inlineStr">
        <is>
          <t>/adobe-analytics-learning/shape/vista-rules/what-are-vista-rules/</t>
        </is>
      </c>
      <c r="G80" s="13" t="inlineStr">
        <is>
          <t>What Are VISTA Rules in Adobe Analytics</t>
        </is>
      </c>
      <c r="H80" s="13" t="inlineStr">
        <is>
          <t>Yes</t>
        </is>
      </c>
      <c r="I80" s="13" t="inlineStr">
        <is>
          <t>What a VISTA rule is, where it sits in the pipeline, what it can do that a processing rule cannot, and why Adobe calls it a last resort.</t>
        </is>
      </c>
      <c r="J80" s="13" t="inlineStr">
        <is>
          <t>Yes</t>
        </is>
      </c>
      <c r="K80" s="13" t="n">
        <v>39</v>
      </c>
      <c r="L80" s="13" t="n">
        <v>136</v>
      </c>
      <c r="M80" s="13" t="inlineStr">
        <is>
          <t>Yes</t>
        </is>
      </c>
      <c r="N80" s="13" t="inlineStr">
        <is>
          <t>Yes</t>
        </is>
      </c>
      <c r="O80" s="13" t="inlineStr">
        <is>
          <t>Locked</t>
        </is>
      </c>
    </row>
    <row r="81" ht="15" customHeight="1" s="11">
      <c r="A81" s="13" t="inlineStr">
        <is>
          <t>Shape</t>
        </is>
      </c>
      <c r="B81" s="13" t="inlineStr">
        <is>
          <t>vista-rules</t>
        </is>
      </c>
      <c r="C81" s="13" t="n">
        <v>2</v>
      </c>
      <c r="D81" s="13" t="inlineStr">
        <is>
          <t>When to Use VISTA Rules</t>
        </is>
      </c>
      <c r="E81" s="13" t="inlineStr">
        <is>
          <t>Section</t>
        </is>
      </c>
      <c r="F81" s="13" t="inlineStr">
        <is>
          <t>/adobe-analytics-learning/shape/vista-rules/when-to-use-vista-rules/</t>
        </is>
      </c>
      <c r="G81" s="13" t="inlineStr">
        <is>
          <t>When to Use VISTA Rules in Adobe Analytics</t>
        </is>
      </c>
      <c r="H81" s="13" t="inlineStr">
        <is>
          <t>Yes</t>
        </is>
      </c>
      <c r="I81" s="13" t="inlineStr">
        <is>
          <t>Start from no. The cheaper tools to rule out first, the signs it really is a VISTA problem, and how to request and maintain one if it is.</t>
        </is>
      </c>
      <c r="J81" s="13" t="inlineStr">
        <is>
          <t>Yes</t>
        </is>
      </c>
      <c r="K81" s="13" t="n">
        <v>42</v>
      </c>
      <c r="L81" s="13" t="n">
        <v>137</v>
      </c>
      <c r="M81" s="13" t="inlineStr">
        <is>
          <t>Yes</t>
        </is>
      </c>
      <c r="N81" s="13" t="inlineStr">
        <is>
          <t>Yes</t>
        </is>
      </c>
      <c r="O81" s="13" t="inlineStr">
        <is>
          <t>Locked</t>
        </is>
      </c>
    </row>
    <row r="82" ht="15" customHeight="1" s="11">
      <c r="A82" s="13" t="inlineStr">
        <is>
          <t>Shape</t>
        </is>
      </c>
      <c r="B82" s="13" t="inlineStr">
        <is>
          <t>vista-rules</t>
        </is>
      </c>
      <c r="C82" s="13" t="n">
        <v>3</v>
      </c>
      <c r="D82" s="13" t="inlineStr">
        <is>
          <t>Common VISTA Rules</t>
        </is>
      </c>
      <c r="E82" s="13" t="inlineStr">
        <is>
          <t>Section</t>
        </is>
      </c>
      <c r="F82" s="13" t="inlineStr">
        <is>
          <t>/adobe-analytics-learning/shape/vista-rules/common-vista-rules/</t>
        </is>
      </c>
      <c r="G82" s="13" t="inlineStr">
        <is>
          <t>Common VISTA Rules in Adobe Analytics</t>
        </is>
      </c>
      <c r="H82" s="13" t="inlineStr">
        <is>
          <t>Yes</t>
        </is>
      </c>
      <c r="I82" s="13" t="inlineStr">
        <is>
          <t>The VISTA rules people actually use: copying hits to a second report suite, routing traffic, fixing what the console cannot reach, and DB VISTA lookups.</t>
        </is>
      </c>
      <c r="J82" s="13" t="inlineStr">
        <is>
          <t>Yes</t>
        </is>
      </c>
      <c r="K82" s="13" t="n">
        <v>37</v>
      </c>
      <c r="L82" s="13" t="n">
        <v>152</v>
      </c>
      <c r="M82" s="13" t="inlineStr">
        <is>
          <t>Yes</t>
        </is>
      </c>
      <c r="N82" s="13" t="inlineStr">
        <is>
          <t>Yes</t>
        </is>
      </c>
      <c r="O82" s="13" t="inlineStr">
        <is>
          <t>Locked</t>
        </is>
      </c>
    </row>
    <row r="83" ht="15" customHeight="1" s="11">
      <c r="A83" s="13" t="inlineStr">
        <is>
          <t>Analyze</t>
        </is>
      </c>
      <c r="B83" s="13" t="n"/>
      <c r="C83" s="13" t="n"/>
      <c r="D83" s="13" t="inlineStr">
        <is>
          <t>Analyze the data</t>
        </is>
      </c>
      <c r="E83" s="13" t="inlineStr">
        <is>
          <t>Category landing</t>
        </is>
      </c>
      <c r="F83" s="13" t="inlineStr">
        <is>
          <t>/adobe-analytics-learning/analyze/</t>
        </is>
      </c>
      <c r="G83" s="13" t="inlineStr">
        <is>
          <t>Analyzing Data in Adobe Analytics</t>
        </is>
      </c>
      <c r="H83" s="13" t="inlineStr">
        <is>
          <t>Yes</t>
        </is>
      </c>
      <c r="I83" s="13" t="inlineStr">
        <is>
          <t>Turning collected data into answers: calculated metrics, segments, Analysis Workspace, attribution, and the exports for questions the interface cannot answer.</t>
        </is>
      </c>
      <c r="J83" s="13" t="inlineStr">
        <is>
          <t>Yes</t>
        </is>
      </c>
      <c r="K83" s="13" t="n">
        <v>33</v>
      </c>
      <c r="L83" s="13" t="n">
        <v>158</v>
      </c>
      <c r="M83" s="13" t="inlineStr">
        <is>
          <t>No</t>
        </is>
      </c>
      <c r="N83" s="13" t="inlineStr">
        <is>
          <t>No</t>
        </is>
      </c>
      <c r="O83" s="13">
        <f>IF(AND(H83="Yes",J83="Yes",M83="Yes",N83="Yes"),"Yes","No")</f>
        <v/>
      </c>
    </row>
    <row r="84" ht="15" customHeight="1" s="11">
      <c r="A84" s="13" t="inlineStr">
        <is>
          <t>Analyze</t>
        </is>
      </c>
      <c r="B84" s="13" t="inlineStr">
        <is>
          <t>activity-map</t>
        </is>
      </c>
      <c r="C84" s="13" t="n"/>
      <c r="D84" s="13" t="inlineStr">
        <is>
          <t>Activity Map</t>
        </is>
      </c>
      <c r="E84" s="13" t="inlineStr">
        <is>
          <t>Module landing</t>
        </is>
      </c>
      <c r="F84" s="13" t="inlineStr">
        <is>
          <t>/adobe-analytics-learning/analyze/activity-map/</t>
        </is>
      </c>
      <c r="G84" s="13" t="inlineStr">
        <is>
          <t>Activity Map in Adobe Analytics</t>
        </is>
      </c>
      <c r="H84" s="13" t="inlineStr">
        <is>
          <t>Yes</t>
        </is>
      </c>
      <c r="I84" s="13" t="inlineStr">
        <is>
          <t>Activity Map shows you what people actually clicked, and where on the page they clicked it. Setting it up, reading it, and its blind spots.</t>
        </is>
      </c>
      <c r="J84" s="13" t="inlineStr">
        <is>
          <t>Yes</t>
        </is>
      </c>
      <c r="K84" s="13" t="n">
        <v>31</v>
      </c>
      <c r="L84" s="13" t="n">
        <v>139</v>
      </c>
      <c r="M84" s="13" t="inlineStr">
        <is>
          <t>No</t>
        </is>
      </c>
      <c r="N84" s="13" t="inlineStr">
        <is>
          <t>No</t>
        </is>
      </c>
      <c r="O84" s="13">
        <f>IF(AND(H84="Yes",J84="Yes",M84="Yes",N84="Yes"),"Yes","No")</f>
        <v/>
      </c>
    </row>
    <row r="85" ht="15" customHeight="1" s="11">
      <c r="A85" s="13" t="inlineStr">
        <is>
          <t>Analyze</t>
        </is>
      </c>
      <c r="B85" s="13" t="inlineStr">
        <is>
          <t>activity-map</t>
        </is>
      </c>
      <c r="C85" s="13" t="n">
        <v>1</v>
      </c>
      <c r="D85" s="13" t="inlineStr">
        <is>
          <t>Activity Map Overview</t>
        </is>
      </c>
      <c r="E85" s="13" t="inlineStr">
        <is>
          <t>Section</t>
        </is>
      </c>
      <c r="F85" s="13" t="inlineStr">
        <is>
          <t>/adobe-analytics-learning/analyze/activity-map/activity-map-overview/</t>
        </is>
      </c>
      <c r="G85" s="13" t="n"/>
      <c r="H85" s="13" t="inlineStr">
        <is>
          <t>No</t>
        </is>
      </c>
      <c r="I85" s="13" t="inlineStr">
        <is>
          <t>Activity Map is a browser-based tool that visually displays link activity on your web pages, showing which links get the most clicks through …</t>
        </is>
      </c>
      <c r="J85" s="13" t="inlineStr">
        <is>
          <t>Yes</t>
        </is>
      </c>
      <c r="K85" s="13" t="n">
        <v>0</v>
      </c>
      <c r="L85" s="13" t="n">
        <v>142</v>
      </c>
      <c r="M85" s="13" t="inlineStr">
        <is>
          <t>No</t>
        </is>
      </c>
      <c r="N85" s="13" t="inlineStr">
        <is>
          <t>No</t>
        </is>
      </c>
      <c r="O85" s="13">
        <f>IF(AND(H85="Yes",J85="Yes",M85="Yes",N85="Yes"),"Yes","No")</f>
        <v/>
      </c>
    </row>
    <row r="86" ht="15" customHeight="1" s="11">
      <c r="A86" s="13" t="inlineStr">
        <is>
          <t>Analyze</t>
        </is>
      </c>
      <c r="B86" s="13" t="inlineStr">
        <is>
          <t>activity-map</t>
        </is>
      </c>
      <c r="C86" s="13" t="n">
        <v>2</v>
      </c>
      <c r="D86" s="13" t="inlineStr">
        <is>
          <t>Implementation and Setup</t>
        </is>
      </c>
      <c r="E86" s="13" t="inlineStr">
        <is>
          <t>Section</t>
        </is>
      </c>
      <c r="F86" s="13" t="inlineStr">
        <is>
          <t>/adobe-analytics-learning/analyze/activity-map/implementation-setup/</t>
        </is>
      </c>
      <c r="G86" s="13" t="n"/>
      <c r="H86" s="13" t="inlineStr">
        <is>
          <t>No</t>
        </is>
      </c>
      <c r="I86" s="14" t="inlineStr">
        <is>
          <t>Activity Map requires enabling the module in your implementation and installing the browser extension.
Implementation Requirements MethodRequirement …</t>
        </is>
      </c>
      <c r="J86" s="13" t="inlineStr">
        <is>
          <t>Yes</t>
        </is>
      </c>
      <c r="K86" s="13" t="n">
        <v>0</v>
      </c>
      <c r="L86" s="13" t="n">
        <v>150</v>
      </c>
      <c r="M86" s="13" t="inlineStr">
        <is>
          <t>No</t>
        </is>
      </c>
      <c r="N86" s="13" t="inlineStr">
        <is>
          <t>No</t>
        </is>
      </c>
      <c r="O86" s="13">
        <f>IF(AND(H86="Yes",J86="Yes",M86="Yes",N86="Yes"),"Yes","No")</f>
        <v/>
      </c>
    </row>
    <row r="87" ht="15" customHeight="1" s="11">
      <c r="A87" s="13" t="inlineStr">
        <is>
          <t>Analyze</t>
        </is>
      </c>
      <c r="B87" s="13" t="inlineStr">
        <is>
          <t>activity-map</t>
        </is>
      </c>
      <c r="C87" s="13" t="n">
        <v>3</v>
      </c>
      <c r="D87" s="13" t="inlineStr">
        <is>
          <t>Using Activity Map</t>
        </is>
      </c>
      <c r="E87" s="13" t="inlineStr">
        <is>
          <t>Section</t>
        </is>
      </c>
      <c r="F87" s="13" t="inlineStr">
        <is>
          <t>/adobe-analytics-learning/analyze/activity-map/using-activity-map/</t>
        </is>
      </c>
      <c r="G87" s="13" t="n"/>
      <c r="H87" s="13" t="inlineStr">
        <is>
          <t>No</t>
        </is>
      </c>
      <c r="I87" s="14" t="inlineStr">
        <is>
          <t>Once installed, Activity Map provides several views and tools for analyzing link clicks.
Main Views ViewDescriptionUse Case Overlay ModeBubbles …</t>
        </is>
      </c>
      <c r="J87" s="13" t="inlineStr">
        <is>
          <t>Yes</t>
        </is>
      </c>
      <c r="K87" s="13" t="n">
        <v>0</v>
      </c>
      <c r="L87" s="13" t="n">
        <v>145</v>
      </c>
      <c r="M87" s="13" t="inlineStr">
        <is>
          <t>No</t>
        </is>
      </c>
      <c r="N87" s="13" t="inlineStr">
        <is>
          <t>No</t>
        </is>
      </c>
      <c r="O87" s="13">
        <f>IF(AND(H87="Yes",J87="Yes",M87="Yes",N87="Yes"),"Yes","No")</f>
        <v/>
      </c>
    </row>
    <row r="88" ht="15" customHeight="1" s="11">
      <c r="A88" s="13" t="inlineStr">
        <is>
          <t>Analyze</t>
        </is>
      </c>
      <c r="B88" s="13" t="inlineStr">
        <is>
          <t>activity-map</t>
        </is>
      </c>
      <c r="C88" s="13" t="n">
        <v>4</v>
      </c>
      <c r="D88" s="13" t="inlineStr">
        <is>
          <t>Activity Map Best Practices</t>
        </is>
      </c>
      <c r="E88" s="13" t="inlineStr">
        <is>
          <t>Section</t>
        </is>
      </c>
      <c r="F88" s="13" t="inlineStr">
        <is>
          <t>/adobe-analytics-learning/analyze/activity-map/activity-map-best-practices/</t>
        </is>
      </c>
      <c r="G88" s="13" t="n"/>
      <c r="H88" s="13" t="inlineStr">
        <is>
          <t>No</t>
        </is>
      </c>
      <c r="I88" s="14" t="inlineStr">
        <is>
          <t>Get the most out of Activity Map with these tips and solutions to common issues.
Best Practices Use s_objectID: Implement custom link IDs for …</t>
        </is>
      </c>
      <c r="J88" s="13" t="inlineStr">
        <is>
          <t>Yes</t>
        </is>
      </c>
      <c r="K88" s="13" t="n">
        <v>0</v>
      </c>
      <c r="L88" s="13" t="n">
        <v>143</v>
      </c>
      <c r="M88" s="13" t="inlineStr">
        <is>
          <t>No</t>
        </is>
      </c>
      <c r="N88" s="13" t="inlineStr">
        <is>
          <t>No</t>
        </is>
      </c>
      <c r="O88" s="13">
        <f>IF(AND(H88="Yes",J88="Yes",M88="Yes",N88="Yes"),"Yes","No")</f>
        <v/>
      </c>
    </row>
    <row r="89" ht="15" customHeight="1" s="11">
      <c r="A89" s="13" t="inlineStr">
        <is>
          <t>Analyze</t>
        </is>
      </c>
      <c r="B89" s="13" t="inlineStr">
        <is>
          <t>analysis-workspace</t>
        </is>
      </c>
      <c r="C89" s="13" t="n"/>
      <c r="D89" s="13" t="inlineStr">
        <is>
          <t>Analysis Workspace</t>
        </is>
      </c>
      <c r="E89" s="13" t="inlineStr">
        <is>
          <t>Module landing</t>
        </is>
      </c>
      <c r="F89" s="13" t="inlineStr">
        <is>
          <t>/adobe-analytics-learning/analyze/analysis-workspace/</t>
        </is>
      </c>
      <c r="G89" s="13" t="inlineStr">
        <is>
          <t>Analysis Workspace in Adobe Analytics</t>
        </is>
      </c>
      <c r="H89" s="13" t="inlineStr">
        <is>
          <t>Yes</t>
        </is>
      </c>
      <c r="I89" s="13" t="inlineStr">
        <is>
          <t>Analysis Workspace is where the data finally answers back. Panels, visualizations, freeform tables, and sharing work people will actually use.</t>
        </is>
      </c>
      <c r="J89" s="13" t="inlineStr">
        <is>
          <t>Yes</t>
        </is>
      </c>
      <c r="K89" s="13" t="n">
        <v>37</v>
      </c>
      <c r="L89" s="13" t="n">
        <v>142</v>
      </c>
      <c r="M89" s="13" t="inlineStr">
        <is>
          <t>No</t>
        </is>
      </c>
      <c r="N89" s="13" t="inlineStr">
        <is>
          <t>No</t>
        </is>
      </c>
      <c r="O89" s="13">
        <f>IF(AND(H89="Yes",J89="Yes",M89="Yes",N89="Yes"),"Yes","No")</f>
        <v/>
      </c>
    </row>
    <row r="90" ht="15" customHeight="1" s="11">
      <c r="A90" s="13" t="inlineStr">
        <is>
          <t>Analyze</t>
        </is>
      </c>
      <c r="B90" s="13" t="inlineStr">
        <is>
          <t>analysis-workspace</t>
        </is>
      </c>
      <c r="C90" s="13" t="n">
        <v>1</v>
      </c>
      <c r="D90" s="13" t="inlineStr">
        <is>
          <t>Analysis Workspace Overview</t>
        </is>
      </c>
      <c r="E90" s="13" t="inlineStr">
        <is>
          <t>Section</t>
        </is>
      </c>
      <c r="F90" s="13" t="inlineStr">
        <is>
          <t>/adobe-analytics-learning/analyze/analysis-workspace/analysis-workspace-overview/</t>
        </is>
      </c>
      <c r="G90" s="13" t="n"/>
      <c r="H90" s="13" t="inlineStr">
        <is>
          <t>No</t>
        </is>
      </c>
      <c r="I90" s="13" t="inlineStr">
        <is>
          <t>Analysis Workspace is Adobe Analytics' powerful, flexible canvas for building custom analysis projects. It's the primary interface for data …</t>
        </is>
      </c>
      <c r="J90" s="13" t="inlineStr">
        <is>
          <t>Yes</t>
        </is>
      </c>
      <c r="K90" s="13" t="n">
        <v>0</v>
      </c>
      <c r="L90" s="13" t="n">
        <v>141</v>
      </c>
      <c r="M90" s="13" t="inlineStr">
        <is>
          <t>No</t>
        </is>
      </c>
      <c r="N90" s="13" t="inlineStr">
        <is>
          <t>No</t>
        </is>
      </c>
      <c r="O90" s="13">
        <f>IF(AND(H90="Yes",J90="Yes",M90="Yes",N90="Yes"),"Yes","No")</f>
        <v/>
      </c>
    </row>
    <row r="91" ht="15" customHeight="1" s="11">
      <c r="A91" s="13" t="inlineStr">
        <is>
          <t>Analyze</t>
        </is>
      </c>
      <c r="B91" s="13" t="inlineStr">
        <is>
          <t>analysis-workspace</t>
        </is>
      </c>
      <c r="C91" s="13" t="n">
        <v>2</v>
      </c>
      <c r="D91" s="13" t="inlineStr">
        <is>
          <t>Projects and Panels</t>
        </is>
      </c>
      <c r="E91" s="13" t="inlineStr">
        <is>
          <t>Section</t>
        </is>
      </c>
      <c r="F91" s="13" t="inlineStr">
        <is>
          <t>/adobe-analytics-learning/analyze/analysis-workspace/projects-and-panels/</t>
        </is>
      </c>
      <c r="G91" s="13" t="inlineStr">
        <is>
          <t>Projects and Panels in Analysis Workspace</t>
        </is>
      </c>
      <c r="H91" s="13" t="inlineStr">
        <is>
          <t>Yes</t>
        </is>
      </c>
      <c r="I91" s="14" t="inlineStr">
        <is>
          <t>Panels are containers that hold visualizations and tables. Each panel can have its own date range and segments.
Panel Types PanelPurposeKey Features …</t>
        </is>
      </c>
      <c r="J91" s="13" t="inlineStr">
        <is>
          <t>Yes</t>
        </is>
      </c>
      <c r="K91" s="13" t="n">
        <v>41</v>
      </c>
      <c r="L91" s="13" t="n">
        <v>150</v>
      </c>
      <c r="M91" s="13" t="inlineStr">
        <is>
          <t>No</t>
        </is>
      </c>
      <c r="N91" s="13" t="inlineStr">
        <is>
          <t>No</t>
        </is>
      </c>
      <c r="O91" s="13">
        <f>IF(AND(H91="Yes",J91="Yes",M91="Yes",N91="Yes"),"Yes","No")</f>
        <v/>
      </c>
    </row>
    <row r="92" ht="15" customHeight="1" s="11">
      <c r="A92" s="13" t="inlineStr">
        <is>
          <t>Analyze</t>
        </is>
      </c>
      <c r="B92" s="13" t="inlineStr">
        <is>
          <t>analysis-workspace</t>
        </is>
      </c>
      <c r="C92" s="13" t="n">
        <v>3</v>
      </c>
      <c r="D92" s="13" t="inlineStr">
        <is>
          <t>Freeform Tables</t>
        </is>
      </c>
      <c r="E92" s="13" t="inlineStr">
        <is>
          <t>Section</t>
        </is>
      </c>
      <c r="F92" s="13" t="inlineStr">
        <is>
          <t>/adobe-analytics-learning/analyze/analysis-workspace/freeform-tables/</t>
        </is>
      </c>
      <c r="G92" s="13" t="n"/>
      <c r="H92" s="13" t="inlineStr">
        <is>
          <t>No</t>
        </is>
      </c>
      <c r="I92" s="14" t="inlineStr">
        <is>
          <t>Freeform tables are the foundation of Analysis Workspace, providing flexible, pivot-table-like analysis capabilities.
Table Building Basics Rows: Drag …</t>
        </is>
      </c>
      <c r="J92" s="13" t="inlineStr">
        <is>
          <t>Yes</t>
        </is>
      </c>
      <c r="K92" s="13" t="n">
        <v>0</v>
      </c>
      <c r="L92" s="13" t="n">
        <v>152</v>
      </c>
      <c r="M92" s="13" t="inlineStr">
        <is>
          <t>No</t>
        </is>
      </c>
      <c r="N92" s="13" t="inlineStr">
        <is>
          <t>No</t>
        </is>
      </c>
      <c r="O92" s="13">
        <f>IF(AND(H92="Yes",J92="Yes",M92="Yes",N92="Yes"),"Yes","No")</f>
        <v/>
      </c>
    </row>
    <row r="93" ht="15" customHeight="1" s="11">
      <c r="A93" s="13" t="inlineStr">
        <is>
          <t>Analyze</t>
        </is>
      </c>
      <c r="B93" s="13" t="inlineStr">
        <is>
          <t>analysis-workspace</t>
        </is>
      </c>
      <c r="C93" s="13" t="n">
        <v>4</v>
      </c>
      <c r="D93" s="13" t="inlineStr">
        <is>
          <t>Visualizations</t>
        </is>
      </c>
      <c r="E93" s="13" t="inlineStr">
        <is>
          <t>Section</t>
        </is>
      </c>
      <c r="F93" s="13" t="inlineStr">
        <is>
          <t>/adobe-analytics-learning/analyze/analysis-workspace/visualizations/</t>
        </is>
      </c>
      <c r="G93" s="13" t="n"/>
      <c r="H93" s="13" t="inlineStr">
        <is>
          <t>No</t>
        </is>
      </c>
      <c r="I93" s="14" t="inlineStr">
        <is>
          <t>Visualizations transform data into charts, graphs, and other visual formats for easier interpretation.
Common Visualizations VisualizationBest ForData …</t>
        </is>
      </c>
      <c r="J93" s="13" t="inlineStr">
        <is>
          <t>Yes</t>
        </is>
      </c>
      <c r="K93" s="13" t="n">
        <v>0</v>
      </c>
      <c r="L93" s="13" t="n">
        <v>152</v>
      </c>
      <c r="M93" s="13" t="inlineStr">
        <is>
          <t>No</t>
        </is>
      </c>
      <c r="N93" s="13" t="inlineStr">
        <is>
          <t>No</t>
        </is>
      </c>
      <c r="O93" s="13">
        <f>IF(AND(H93="Yes",J93="Yes",M93="Yes",N93="Yes"),"Yes","No")</f>
        <v/>
      </c>
    </row>
    <row r="94" ht="15" customHeight="1" s="11">
      <c r="A94" s="13" t="inlineStr">
        <is>
          <t>Analyze</t>
        </is>
      </c>
      <c r="B94" s="13" t="inlineStr">
        <is>
          <t>analysis-workspace</t>
        </is>
      </c>
      <c r="C94" s="13" t="n">
        <v>5</v>
      </c>
      <c r="D94" s="13" t="inlineStr">
        <is>
          <t>Cohort Analysis</t>
        </is>
      </c>
      <c r="E94" s="13" t="inlineStr">
        <is>
          <t>Section</t>
        </is>
      </c>
      <c r="F94" s="13" t="inlineStr">
        <is>
          <t>/adobe-analytics-learning/analyze/analysis-workspace/cohort-analysis/</t>
        </is>
      </c>
      <c r="G94" s="13" t="inlineStr">
        <is>
          <t>Cohort Analysis in Analysis Workspace</t>
        </is>
      </c>
      <c r="H94" s="13" t="inlineStr">
        <is>
          <t>Yes</t>
        </is>
      </c>
      <c r="I94" s="13" t="inlineStr">
        <is>
          <t>This section is not yet written.</t>
        </is>
      </c>
      <c r="J94" s="13" t="inlineStr">
        <is>
          <t>Yes</t>
        </is>
      </c>
      <c r="K94" s="13" t="n">
        <v>37</v>
      </c>
      <c r="L94" s="13" t="n">
        <v>32</v>
      </c>
      <c r="M94" s="13" t="inlineStr">
        <is>
          <t>No</t>
        </is>
      </c>
      <c r="N94" s="13" t="inlineStr">
        <is>
          <t>No</t>
        </is>
      </c>
      <c r="O94" s="13">
        <f>IF(AND(H94="Yes",J94="Yes",M94="Yes",N94="Yes"),"Yes","No")</f>
        <v/>
      </c>
    </row>
    <row r="95" ht="15" customHeight="1" s="11">
      <c r="A95" s="13" t="inlineStr">
        <is>
          <t>Analyze</t>
        </is>
      </c>
      <c r="B95" s="13" t="inlineStr">
        <is>
          <t>analysis-workspace</t>
        </is>
      </c>
      <c r="C95" s="13" t="n">
        <v>6</v>
      </c>
      <c r="D95" s="13" t="inlineStr">
        <is>
          <t>Fallout and Flow Analysis</t>
        </is>
      </c>
      <c r="E95" s="13" t="inlineStr">
        <is>
          <t>Section</t>
        </is>
      </c>
      <c r="F95" s="13" t="inlineStr">
        <is>
          <t>/adobe-analytics-learning/analyze/analysis-workspace/fallout-and-flow-analysis/</t>
        </is>
      </c>
      <c r="G95" s="13" t="inlineStr">
        <is>
          <t>Fallout and Flow Analysis in Analysis Workspace</t>
        </is>
      </c>
      <c r="H95" s="13" t="inlineStr">
        <is>
          <t>Yes</t>
        </is>
      </c>
      <c r="I95" s="13" t="inlineStr">
        <is>
          <t>This section is not yet written.</t>
        </is>
      </c>
      <c r="J95" s="13" t="inlineStr">
        <is>
          <t>Yes</t>
        </is>
      </c>
      <c r="K95" s="13" t="n">
        <v>47</v>
      </c>
      <c r="L95" s="13" t="n">
        <v>32</v>
      </c>
      <c r="M95" s="13" t="inlineStr">
        <is>
          <t>No</t>
        </is>
      </c>
      <c r="N95" s="13" t="inlineStr">
        <is>
          <t>No</t>
        </is>
      </c>
      <c r="O95" s="13">
        <f>IF(AND(H95="Yes",J95="Yes",M95="Yes",N95="Yes"),"Yes","No")</f>
        <v/>
      </c>
    </row>
    <row r="96" ht="15" customHeight="1" s="11">
      <c r="A96" s="13" t="inlineStr">
        <is>
          <t>Analyze</t>
        </is>
      </c>
      <c r="B96" s="13" t="inlineStr">
        <is>
          <t>analysis-workspace</t>
        </is>
      </c>
      <c r="C96" s="13" t="n">
        <v>7</v>
      </c>
      <c r="D96" s="13" t="inlineStr">
        <is>
          <t>Anomaly Detection and Contribution Analysis</t>
        </is>
      </c>
      <c r="E96" s="13" t="inlineStr">
        <is>
          <t>Section</t>
        </is>
      </c>
      <c r="F96" s="13" t="inlineStr">
        <is>
          <t>/adobe-analytics-learning/analyze/analysis-workspace/anomaly-detection-contribution-analysis/</t>
        </is>
      </c>
      <c r="G96" s="13" t="inlineStr">
        <is>
          <t>Anomaly Detection in Adobe Analytics</t>
        </is>
      </c>
      <c r="H96" s="13" t="inlineStr">
        <is>
          <t>Yes</t>
        </is>
      </c>
      <c r="I96" s="14" t="inlineStr">
        <is>
          <t>Adobe Analytics uses machine learning to automatically detect unusual patterns in your data and identify factors contributing to anomalies.
Anomaly …</t>
        </is>
      </c>
      <c r="J96" s="13" t="inlineStr">
        <is>
          <t>Yes</t>
        </is>
      </c>
      <c r="K96" s="13" t="n">
        <v>36</v>
      </c>
      <c r="L96" s="13" t="n">
        <v>149</v>
      </c>
      <c r="M96" s="13" t="inlineStr">
        <is>
          <t>No</t>
        </is>
      </c>
      <c r="N96" s="13" t="inlineStr">
        <is>
          <t>No</t>
        </is>
      </c>
      <c r="O96" s="13">
        <f>IF(AND(H96="Yes",J96="Yes",M96="Yes",N96="Yes"),"Yes","No")</f>
        <v/>
      </c>
    </row>
    <row r="97" ht="15" customHeight="1" s="11">
      <c r="A97" s="13" t="inlineStr">
        <is>
          <t>Analyze</t>
        </is>
      </c>
      <c r="B97" s="13" t="inlineStr">
        <is>
          <t>analysis-workspace</t>
        </is>
      </c>
      <c r="C97" s="13" t="n">
        <v>8</v>
      </c>
      <c r="D97" s="13" t="inlineStr">
        <is>
          <t>Curation and Templates</t>
        </is>
      </c>
      <c r="E97" s="13" t="inlineStr">
        <is>
          <t>Section</t>
        </is>
      </c>
      <c r="F97" s="13" t="inlineStr">
        <is>
          <t>/adobe-analytics-learning/analyze/analysis-workspace/curation-and-templates/</t>
        </is>
      </c>
      <c r="G97" s="13" t="inlineStr">
        <is>
          <t>Curating Workspace Projects and Templates</t>
        </is>
      </c>
      <c r="H97" s="13" t="inlineStr">
        <is>
          <t>Yes</t>
        </is>
      </c>
      <c r="I97" s="13" t="inlineStr">
        <is>
          <t>This section is not yet written.</t>
        </is>
      </c>
      <c r="J97" s="13" t="inlineStr">
        <is>
          <t>Yes</t>
        </is>
      </c>
      <c r="K97" s="13" t="n">
        <v>41</v>
      </c>
      <c r="L97" s="13" t="n">
        <v>32</v>
      </c>
      <c r="M97" s="13" t="inlineStr">
        <is>
          <t>No</t>
        </is>
      </c>
      <c r="N97" s="13" t="inlineStr">
        <is>
          <t>No</t>
        </is>
      </c>
      <c r="O97" s="13">
        <f>IF(AND(H97="Yes",J97="Yes",M97="Yes",N97="Yes"),"Yes","No")</f>
        <v/>
      </c>
    </row>
    <row r="98" ht="15" customHeight="1" s="11">
      <c r="A98" s="13" t="inlineStr">
        <is>
          <t>Analyze</t>
        </is>
      </c>
      <c r="B98" s="13" t="inlineStr">
        <is>
          <t>analysis-workspace</t>
        </is>
      </c>
      <c r="C98" s="13" t="n">
        <v>9</v>
      </c>
      <c r="D98" s="13" t="inlineStr">
        <is>
          <t>Sharing and Collaboration</t>
        </is>
      </c>
      <c r="E98" s="13" t="inlineStr">
        <is>
          <t>Section</t>
        </is>
      </c>
      <c r="F98" s="13" t="inlineStr">
        <is>
          <t>/adobe-analytics-learning/analyze/analysis-workspace/sharing-collaboration/</t>
        </is>
      </c>
      <c r="G98" s="13" t="inlineStr">
        <is>
          <t>Sharing Analysis Workspace Projects</t>
        </is>
      </c>
      <c r="H98" s="13" t="inlineStr">
        <is>
          <t>Yes</t>
        </is>
      </c>
      <c r="I98" s="14" t="inlineStr">
        <is>
          <t>Analysis Workspace provides multiple ways to share insights with stakeholders.
Sharing Options MethodUse CaseRecipient Needs Share ProjectCollaborate …</t>
        </is>
      </c>
      <c r="J98" s="13" t="inlineStr">
        <is>
          <t>Yes</t>
        </is>
      </c>
      <c r="K98" s="13" t="n">
        <v>35</v>
      </c>
      <c r="L98" s="13" t="n">
        <v>151</v>
      </c>
      <c r="M98" s="13" t="inlineStr">
        <is>
          <t>No</t>
        </is>
      </c>
      <c r="N98" s="13" t="inlineStr">
        <is>
          <t>No</t>
        </is>
      </c>
      <c r="O98" s="13">
        <f>IF(AND(H98="Yes",J98="Yes",M98="Yes",N98="Yes"),"Yes","No")</f>
        <v/>
      </c>
    </row>
    <row r="99" ht="15" customHeight="1" s="11">
      <c r="A99" s="13" t="inlineStr">
        <is>
          <t>Analyze</t>
        </is>
      </c>
      <c r="B99" s="13" t="inlineStr">
        <is>
          <t>analysis-workspace</t>
        </is>
      </c>
      <c r="C99" s="13" t="n">
        <v>10</v>
      </c>
      <c r="D99" s="13" t="inlineStr">
        <is>
          <t>Workspace Performance and Limits</t>
        </is>
      </c>
      <c r="E99" s="13" t="inlineStr">
        <is>
          <t>Section</t>
        </is>
      </c>
      <c r="F99" s="13" t="inlineStr">
        <is>
          <t>/adobe-analytics-learning/analyze/analysis-workspace/workspace-performance-and-limits/</t>
        </is>
      </c>
      <c r="G99" s="13" t="inlineStr">
        <is>
          <t>Analysis Workspace Performance and Limits</t>
        </is>
      </c>
      <c r="H99" s="13" t="inlineStr">
        <is>
          <t>Yes</t>
        </is>
      </c>
      <c r="I99" s="13" t="inlineStr">
        <is>
          <t>This section is not yet written.</t>
        </is>
      </c>
      <c r="J99" s="13" t="inlineStr">
        <is>
          <t>Yes</t>
        </is>
      </c>
      <c r="K99" s="13" t="n">
        <v>41</v>
      </c>
      <c r="L99" s="13" t="n">
        <v>32</v>
      </c>
      <c r="M99" s="13" t="inlineStr">
        <is>
          <t>No</t>
        </is>
      </c>
      <c r="N99" s="13" t="inlineStr">
        <is>
          <t>No</t>
        </is>
      </c>
      <c r="O99" s="13">
        <f>IF(AND(H99="Yes",J99="Yes",M99="Yes",N99="Yes"),"Yes","No")</f>
        <v/>
      </c>
    </row>
    <row r="100" ht="15" customHeight="1" s="11">
      <c r="A100" s="13" t="inlineStr">
        <is>
          <t>Analyze</t>
        </is>
      </c>
      <c r="B100" s="13" t="inlineStr">
        <is>
          <t>attribution-models</t>
        </is>
      </c>
      <c r="C100" s="13" t="n"/>
      <c r="D100" s="13" t="inlineStr">
        <is>
          <t>Attribution Models</t>
        </is>
      </c>
      <c r="E100" s="13" t="inlineStr">
        <is>
          <t>Module landing</t>
        </is>
      </c>
      <c r="F100" s="13" t="inlineStr">
        <is>
          <t>/adobe-analytics-learning/analyze/attribution-models/</t>
        </is>
      </c>
      <c r="G100" s="13" t="inlineStr">
        <is>
          <t>Attribution Models in Adobe Analytics</t>
        </is>
      </c>
      <c r="H100" s="13" t="inlineStr">
        <is>
          <t>Yes</t>
        </is>
      </c>
      <c r="I100" s="13" t="inlineStr">
        <is>
          <t>How Adobe decides which touchpoint earns a conversion, which model to choose, and what a lookback window really does.</t>
        </is>
      </c>
      <c r="J100" s="13" t="inlineStr">
        <is>
          <t>Yes</t>
        </is>
      </c>
      <c r="K100" s="13" t="n">
        <v>37</v>
      </c>
      <c r="L100" s="13" t="n">
        <v>117</v>
      </c>
      <c r="M100" s="13" t="inlineStr">
        <is>
          <t>No</t>
        </is>
      </c>
      <c r="N100" s="13" t="inlineStr">
        <is>
          <t>No</t>
        </is>
      </c>
      <c r="O100" s="13">
        <f>IF(AND(H100="Yes",J100="Yes",M100="Yes",N100="Yes"),"Yes","No")</f>
        <v/>
      </c>
    </row>
    <row r="101" ht="15" customHeight="1" s="11">
      <c r="A101" s="13" t="inlineStr">
        <is>
          <t>Analyze</t>
        </is>
      </c>
      <c r="B101" s="13" t="inlineStr">
        <is>
          <t>attribution-models</t>
        </is>
      </c>
      <c r="C101" s="13" t="n">
        <v>1</v>
      </c>
      <c r="D101" s="13" t="inlineStr">
        <is>
          <t>What Is Attribution</t>
        </is>
      </c>
      <c r="E101" s="13" t="inlineStr">
        <is>
          <t>Section</t>
        </is>
      </c>
      <c r="F101" s="13" t="inlineStr">
        <is>
          <t>/adobe-analytics-learning/analyze/attribution-models/what-is-attribution/</t>
        </is>
      </c>
      <c r="G101" s="13" t="inlineStr">
        <is>
          <t>What Is Attribution in Adobe Analytics</t>
        </is>
      </c>
      <c r="H101" s="13" t="inlineStr">
        <is>
          <t>Yes</t>
        </is>
      </c>
      <c r="I101" s="13" t="inlineStr">
        <is>
          <t>This section is not yet written.</t>
        </is>
      </c>
      <c r="J101" s="13" t="inlineStr">
        <is>
          <t>Yes</t>
        </is>
      </c>
      <c r="K101" s="13" t="n">
        <v>38</v>
      </c>
      <c r="L101" s="13" t="n">
        <v>32</v>
      </c>
      <c r="M101" s="13" t="inlineStr">
        <is>
          <t>No</t>
        </is>
      </c>
      <c r="N101" s="13" t="inlineStr">
        <is>
          <t>No</t>
        </is>
      </c>
      <c r="O101" s="13">
        <f>IF(AND(H101="Yes",J101="Yes",M101="Yes",N101="Yes"),"Yes","No")</f>
        <v/>
      </c>
    </row>
    <row r="102" ht="15" customHeight="1" s="11">
      <c r="A102" s="13" t="inlineStr">
        <is>
          <t>Analyze</t>
        </is>
      </c>
      <c r="B102" s="13" t="inlineStr">
        <is>
          <t>attribution-models</t>
        </is>
      </c>
      <c r="C102" s="13" t="n">
        <v>2</v>
      </c>
      <c r="D102" s="13" t="inlineStr">
        <is>
          <t>Attribution Models Compared</t>
        </is>
      </c>
      <c r="E102" s="13" t="inlineStr">
        <is>
          <t>Section</t>
        </is>
      </c>
      <c r="F102" s="13" t="inlineStr">
        <is>
          <t>/adobe-analytics-learning/analyze/attribution-models/attribution-models-compared/</t>
        </is>
      </c>
      <c r="G102" s="13" t="inlineStr">
        <is>
          <t>Adobe Analytics Attribution Models Compared</t>
        </is>
      </c>
      <c r="H102" s="13" t="inlineStr">
        <is>
          <t>Yes</t>
        </is>
      </c>
      <c r="I102" s="13" t="inlineStr">
        <is>
          <t>This section is not yet written.</t>
        </is>
      </c>
      <c r="J102" s="13" t="inlineStr">
        <is>
          <t>Yes</t>
        </is>
      </c>
      <c r="K102" s="13" t="n">
        <v>43</v>
      </c>
      <c r="L102" s="13" t="n">
        <v>32</v>
      </c>
      <c r="M102" s="13" t="inlineStr">
        <is>
          <t>No</t>
        </is>
      </c>
      <c r="N102" s="13" t="inlineStr">
        <is>
          <t>No</t>
        </is>
      </c>
      <c r="O102" s="13">
        <f>IF(AND(H102="Yes",J102="Yes",M102="Yes",N102="Yes"),"Yes","No")</f>
        <v/>
      </c>
    </row>
    <row r="103" ht="15" customHeight="1" s="11">
      <c r="A103" s="13" t="inlineStr">
        <is>
          <t>Analyze</t>
        </is>
      </c>
      <c r="B103" s="13" t="inlineStr">
        <is>
          <t>attribution-models</t>
        </is>
      </c>
      <c r="C103" s="13" t="n">
        <v>3</v>
      </c>
      <c r="D103" s="13" t="inlineStr">
        <is>
          <t>Lookback Windows</t>
        </is>
      </c>
      <c r="E103" s="13" t="inlineStr">
        <is>
          <t>Section</t>
        </is>
      </c>
      <c r="F103" s="13" t="inlineStr">
        <is>
          <t>/adobe-analytics-learning/analyze/attribution-models/lookback-windows/</t>
        </is>
      </c>
      <c r="G103" s="13" t="inlineStr">
        <is>
          <t>Attribution Lookback Windows in Adobe Analytics</t>
        </is>
      </c>
      <c r="H103" s="13" t="inlineStr">
        <is>
          <t>Yes</t>
        </is>
      </c>
      <c r="I103" s="13" t="inlineStr">
        <is>
          <t>This section is not yet written.</t>
        </is>
      </c>
      <c r="J103" s="13" t="inlineStr">
        <is>
          <t>Yes</t>
        </is>
      </c>
      <c r="K103" s="13" t="n">
        <v>47</v>
      </c>
      <c r="L103" s="13" t="n">
        <v>32</v>
      </c>
      <c r="M103" s="13" t="inlineStr">
        <is>
          <t>No</t>
        </is>
      </c>
      <c r="N103" s="13" t="inlineStr">
        <is>
          <t>No</t>
        </is>
      </c>
      <c r="O103" s="13">
        <f>IF(AND(H103="Yes",J103="Yes",M103="Yes",N103="Yes"),"Yes","No")</f>
        <v/>
      </c>
    </row>
    <row r="104" ht="15" customHeight="1" s="11">
      <c r="A104" s="13" t="inlineStr">
        <is>
          <t>Analyze</t>
        </is>
      </c>
      <c r="B104" s="13" t="inlineStr">
        <is>
          <t>attribution-models</t>
        </is>
      </c>
      <c r="C104" s="13" t="n">
        <v>4</v>
      </c>
      <c r="D104" s="13" t="inlineStr">
        <is>
          <t>Choosing an Attribution Model</t>
        </is>
      </c>
      <c r="E104" s="13" t="inlineStr">
        <is>
          <t>Section</t>
        </is>
      </c>
      <c r="F104" s="13" t="inlineStr">
        <is>
          <t>/adobe-analytics-learning/analyze/attribution-models/choosing-an-attribution-model/</t>
        </is>
      </c>
      <c r="G104" s="13" t="n"/>
      <c r="H104" s="13" t="inlineStr">
        <is>
          <t>No</t>
        </is>
      </c>
      <c r="I104" s="13" t="inlineStr">
        <is>
          <t>This section is not yet written.</t>
        </is>
      </c>
      <c r="J104" s="13" t="inlineStr">
        <is>
          <t>Yes</t>
        </is>
      </c>
      <c r="K104" s="13" t="n">
        <v>0</v>
      </c>
      <c r="L104" s="13" t="n">
        <v>32</v>
      </c>
      <c r="M104" s="13" t="inlineStr">
        <is>
          <t>No</t>
        </is>
      </c>
      <c r="N104" s="13" t="inlineStr">
        <is>
          <t>No</t>
        </is>
      </c>
      <c r="O104" s="13">
        <f>IF(AND(H104="Yes",J104="Yes",M104="Yes",N104="Yes"),"Yes","No")</f>
        <v/>
      </c>
    </row>
    <row r="105" ht="15" customHeight="1" s="11">
      <c r="A105" s="13" t="inlineStr">
        <is>
          <t>Analyze</t>
        </is>
      </c>
      <c r="B105" s="13" t="inlineStr">
        <is>
          <t>calculated-metrics</t>
        </is>
      </c>
      <c r="C105" s="13" t="n"/>
      <c r="D105" s="13" t="inlineStr">
        <is>
          <t>Calculated Metrics</t>
        </is>
      </c>
      <c r="E105" s="13" t="inlineStr">
        <is>
          <t>Module landing</t>
        </is>
      </c>
      <c r="F105" s="13" t="inlineStr">
        <is>
          <t>/adobe-analytics-learning/analyze/calculated-metrics/</t>
        </is>
      </c>
      <c r="G105" s="13" t="inlineStr">
        <is>
          <t>Calculated Metrics in Adobe Analytics</t>
        </is>
      </c>
      <c r="H105" s="13" t="inlineStr">
        <is>
          <t>Yes</t>
        </is>
      </c>
      <c r="I105" s="13" t="inlineStr">
        <is>
          <t>How variables surface as dimensions and metrics in reporting, and how to build calculated metrics that hold up.</t>
        </is>
      </c>
      <c r="J105" s="13" t="inlineStr">
        <is>
          <t>Yes</t>
        </is>
      </c>
      <c r="K105" s="13" t="n">
        <v>37</v>
      </c>
      <c r="L105" s="13" t="n">
        <v>111</v>
      </c>
      <c r="M105" s="13" t="inlineStr">
        <is>
          <t>No</t>
        </is>
      </c>
      <c r="N105" s="13" t="inlineStr">
        <is>
          <t>No</t>
        </is>
      </c>
      <c r="O105" s="13">
        <f>IF(AND(H105="Yes",J105="Yes",M105="Yes",N105="Yes"),"Yes","No")</f>
        <v/>
      </c>
    </row>
    <row r="106" ht="15" customHeight="1" s="11">
      <c r="A106" s="13" t="inlineStr">
        <is>
          <t>Analyze</t>
        </is>
      </c>
      <c r="B106" s="13" t="inlineStr">
        <is>
          <t>calculated-metrics</t>
        </is>
      </c>
      <c r="C106" s="13" t="n">
        <v>1</v>
      </c>
      <c r="D106" s="13" t="inlineStr">
        <is>
          <t>What Are Calculated Metrics</t>
        </is>
      </c>
      <c r="E106" s="13" t="inlineStr">
        <is>
          <t>Section</t>
        </is>
      </c>
      <c r="F106" s="13" t="inlineStr">
        <is>
          <t>/adobe-analytics-learning/analyze/calculated-metrics/what-are-calculated-metrics/</t>
        </is>
      </c>
      <c r="G106" s="13" t="inlineStr">
        <is>
          <t>What Are Calculated Metrics in Adobe Analytics</t>
        </is>
      </c>
      <c r="H106" s="13" t="inlineStr">
        <is>
          <t>Yes</t>
        </is>
      </c>
      <c r="I106" s="13" t="inlineStr">
        <is>
          <t>This section is not yet written.</t>
        </is>
      </c>
      <c r="J106" s="13" t="inlineStr">
        <is>
          <t>Yes</t>
        </is>
      </c>
      <c r="K106" s="13" t="n">
        <v>46</v>
      </c>
      <c r="L106" s="13" t="n">
        <v>32</v>
      </c>
      <c r="M106" s="13" t="inlineStr">
        <is>
          <t>No</t>
        </is>
      </c>
      <c r="N106" s="13" t="inlineStr">
        <is>
          <t>No</t>
        </is>
      </c>
      <c r="O106" s="13">
        <f>IF(AND(H106="Yes",J106="Yes",M106="Yes",N106="Yes"),"Yes","No")</f>
        <v/>
      </c>
    </row>
    <row r="107" ht="15" customHeight="1" s="11">
      <c r="A107" s="13" t="inlineStr">
        <is>
          <t>Analyze</t>
        </is>
      </c>
      <c r="B107" s="13" t="inlineStr">
        <is>
          <t>calculated-metrics</t>
        </is>
      </c>
      <c r="C107" s="13" t="n">
        <v>2</v>
      </c>
      <c r="D107" s="13" t="inlineStr">
        <is>
          <t>Building Calculated Metrics</t>
        </is>
      </c>
      <c r="E107" s="13" t="inlineStr">
        <is>
          <t>Section</t>
        </is>
      </c>
      <c r="F107" s="13" t="inlineStr">
        <is>
          <t>/adobe-analytics-learning/analyze/calculated-metrics/building-calculated-metrics/</t>
        </is>
      </c>
      <c r="G107" s="13" t="inlineStr">
        <is>
          <t>Building Calculated Metrics in Adobe Analytics</t>
        </is>
      </c>
      <c r="H107" s="13" t="inlineStr">
        <is>
          <t>Yes</t>
        </is>
      </c>
      <c r="I107" s="14" t="inlineStr">
        <is>
          <t>Calculated metrics allow you to create custom metrics using mathematical formulas, combining existing metrics into new insights.
Building Calculated …</t>
        </is>
      </c>
      <c r="J107" s="13" t="inlineStr">
        <is>
          <t>Yes</t>
        </is>
      </c>
      <c r="K107" s="13" t="n">
        <v>46</v>
      </c>
      <c r="L107" s="13" t="n">
        <v>150</v>
      </c>
      <c r="M107" s="13" t="inlineStr">
        <is>
          <t>No</t>
        </is>
      </c>
      <c r="N107" s="13" t="inlineStr">
        <is>
          <t>No</t>
        </is>
      </c>
      <c r="O107" s="13">
        <f>IF(AND(H107="Yes",J107="Yes",M107="Yes",N107="Yes"),"Yes","No")</f>
        <v/>
      </c>
    </row>
    <row r="108" ht="15" customHeight="1" s="11">
      <c r="A108" s="13" t="inlineStr">
        <is>
          <t>Analyze</t>
        </is>
      </c>
      <c r="B108" s="13" t="inlineStr">
        <is>
          <t>calculated-metrics</t>
        </is>
      </c>
      <c r="C108" s="13" t="n">
        <v>3</v>
      </c>
      <c r="D108" s="13" t="inlineStr">
        <is>
          <t>Calculated Metrics Best Practices</t>
        </is>
      </c>
      <c r="E108" s="13" t="inlineStr">
        <is>
          <t>Section</t>
        </is>
      </c>
      <c r="F108" s="13" t="inlineStr">
        <is>
          <t>/adobe-analytics-learning/analyze/calculated-metrics/calculated-metrics-best-practices/</t>
        </is>
      </c>
      <c r="G108" s="13" t="n"/>
      <c r="H108" s="13" t="inlineStr">
        <is>
          <t>No</t>
        </is>
      </c>
      <c r="I108" s="13" t="inlineStr">
        <is>
          <t>This section is not yet written.</t>
        </is>
      </c>
      <c r="J108" s="13" t="inlineStr">
        <is>
          <t>Yes</t>
        </is>
      </c>
      <c r="K108" s="13" t="n">
        <v>0</v>
      </c>
      <c r="L108" s="13" t="n">
        <v>32</v>
      </c>
      <c r="M108" s="13" t="inlineStr">
        <is>
          <t>No</t>
        </is>
      </c>
      <c r="N108" s="13" t="inlineStr">
        <is>
          <t>No</t>
        </is>
      </c>
      <c r="O108" s="13">
        <f>IF(AND(H108="Yes",J108="Yes",M108="Yes",N108="Yes"),"Yes","No")</f>
        <v/>
      </c>
    </row>
    <row r="109" ht="15" customHeight="1" s="11">
      <c r="A109" s="13" t="inlineStr">
        <is>
          <t>Analyze</t>
        </is>
      </c>
      <c r="B109" s="13" t="inlineStr">
        <is>
          <t>data-feeds</t>
        </is>
      </c>
      <c r="C109" s="13" t="n"/>
      <c r="D109" s="13" t="inlineStr">
        <is>
          <t>Data Feeds</t>
        </is>
      </c>
      <c r="E109" s="13" t="inlineStr">
        <is>
          <t>Module landing</t>
        </is>
      </c>
      <c r="F109" s="13" t="inlineStr">
        <is>
          <t>/adobe-analytics-learning/analyze/data-feeds/</t>
        </is>
      </c>
      <c r="G109" s="13" t="inlineStr">
        <is>
          <t>Data Feeds in Adobe Analytics</t>
        </is>
      </c>
      <c r="H109" s="13" t="inlineStr">
        <is>
          <t>Yes</t>
        </is>
      </c>
      <c r="I109" s="13" t="inlineStr">
        <is>
          <t>Data feeds hand you raw hit-level data, one row per hit. What is in the columns, what is missing, and what you have to rebuild yourself.</t>
        </is>
      </c>
      <c r="J109" s="13" t="inlineStr">
        <is>
          <t>Yes</t>
        </is>
      </c>
      <c r="K109" s="13" t="n">
        <v>29</v>
      </c>
      <c r="L109" s="13" t="n">
        <v>136</v>
      </c>
      <c r="M109" s="13" t="inlineStr">
        <is>
          <t>No</t>
        </is>
      </c>
      <c r="N109" s="13" t="inlineStr">
        <is>
          <t>No</t>
        </is>
      </c>
      <c r="O109" s="13">
        <f>IF(AND(H109="Yes",J109="Yes",M109="Yes",N109="Yes"),"Yes","No")</f>
        <v/>
      </c>
    </row>
    <row r="110" ht="15" customHeight="1" s="11">
      <c r="A110" s="13" t="inlineStr">
        <is>
          <t>Analyze</t>
        </is>
      </c>
      <c r="B110" s="13" t="inlineStr">
        <is>
          <t>data-feeds</t>
        </is>
      </c>
      <c r="C110" s="13" t="n">
        <v>1</v>
      </c>
      <c r="D110" s="13" t="inlineStr">
        <is>
          <t>Data Feeds Overview</t>
        </is>
      </c>
      <c r="E110" s="13" t="inlineStr">
        <is>
          <t>Section</t>
        </is>
      </c>
      <c r="F110" s="13" t="inlineStr">
        <is>
          <t>/adobe-analytics-learning/analyze/data-feeds/data-feeds-overview/</t>
        </is>
      </c>
      <c r="G110" s="13" t="n"/>
      <c r="H110" s="13" t="inlineStr">
        <is>
          <t>No</t>
        </is>
      </c>
      <c r="I110" s="13" t="inlineStr">
        <is>
          <t>Data Feeds provide raw, hit-level data exported from Adobe Analytics. Unlike Data Warehouse which aggregates data, Data Feeds deliver every single hit …</t>
        </is>
      </c>
      <c r="J110" s="13" t="inlineStr">
        <is>
          <t>Yes</t>
        </is>
      </c>
      <c r="K110" s="13" t="n">
        <v>0</v>
      </c>
      <c r="L110" s="13" t="n">
        <v>152</v>
      </c>
      <c r="M110" s="13" t="inlineStr">
        <is>
          <t>No</t>
        </is>
      </c>
      <c r="N110" s="13" t="inlineStr">
        <is>
          <t>No</t>
        </is>
      </c>
      <c r="O110" s="13">
        <f>IF(AND(H110="Yes",J110="Yes",M110="Yes",N110="Yes"),"Yes","No")</f>
        <v/>
      </c>
    </row>
    <row r="111" ht="15" customHeight="1" s="11">
      <c r="A111" s="13" t="inlineStr">
        <is>
          <t>Analyze</t>
        </is>
      </c>
      <c r="B111" s="13" t="inlineStr">
        <is>
          <t>data-feeds</t>
        </is>
      </c>
      <c r="C111" s="13" t="n">
        <v>2</v>
      </c>
      <c r="D111" s="13" t="inlineStr">
        <is>
          <t>Feed Configuration</t>
        </is>
      </c>
      <c r="E111" s="13" t="inlineStr">
        <is>
          <t>Section</t>
        </is>
      </c>
      <c r="F111" s="13" t="inlineStr">
        <is>
          <t>/adobe-analytics-learning/analyze/data-feeds/feed-configuration/</t>
        </is>
      </c>
      <c r="G111" s="13" t="n"/>
      <c r="H111" s="13" t="inlineStr">
        <is>
          <t>No</t>
        </is>
      </c>
      <c r="I111" s="14" t="inlineStr">
        <is>
          <t>Setting up a Data Feed involves configuring the feed details, selecting columns, and specifying delivery options.
Configuration Steps 1. Name &amp; Report …</t>
        </is>
      </c>
      <c r="J111" s="13" t="inlineStr">
        <is>
          <t>Yes</t>
        </is>
      </c>
      <c r="K111" s="13" t="n">
        <v>0</v>
      </c>
      <c r="L111" s="13" t="n">
        <v>152</v>
      </c>
      <c r="M111" s="13" t="inlineStr">
        <is>
          <t>No</t>
        </is>
      </c>
      <c r="N111" s="13" t="inlineStr">
        <is>
          <t>No</t>
        </is>
      </c>
      <c r="O111" s="13">
        <f>IF(AND(H111="Yes",J111="Yes",M111="Yes",N111="Yes"),"Yes","No")</f>
        <v/>
      </c>
    </row>
    <row r="112" ht="15" customHeight="1" s="11">
      <c r="A112" s="13" t="inlineStr">
        <is>
          <t>Analyze</t>
        </is>
      </c>
      <c r="B112" s="13" t="inlineStr">
        <is>
          <t>data-feeds</t>
        </is>
      </c>
      <c r="C112" s="13" t="n">
        <v>3</v>
      </c>
      <c r="D112" s="13" t="inlineStr">
        <is>
          <t>Data Feed Contents</t>
        </is>
      </c>
      <c r="E112" s="13" t="inlineStr">
        <is>
          <t>Section</t>
        </is>
      </c>
      <c r="F112" s="13" t="inlineStr">
        <is>
          <t>/adobe-analytics-learning/analyze/data-feeds/data-feed-contents/</t>
        </is>
      </c>
      <c r="G112" s="13" t="n"/>
      <c r="H112" s="13" t="inlineStr">
        <is>
          <t>No</t>
        </is>
      </c>
      <c r="I112" s="14" t="inlineStr">
        <is>
          <t>Data Feed deliveries contain multiple files that work together to provide complete hit-level data.
File Structure FileFormatContents …</t>
        </is>
      </c>
      <c r="J112" s="13" t="inlineStr">
        <is>
          <t>Yes</t>
        </is>
      </c>
      <c r="K112" s="13" t="n">
        <v>0</v>
      </c>
      <c r="L112" s="13" t="n">
        <v>134</v>
      </c>
      <c r="M112" s="13" t="inlineStr">
        <is>
          <t>No</t>
        </is>
      </c>
      <c r="N112" s="13" t="inlineStr">
        <is>
          <t>No</t>
        </is>
      </c>
      <c r="O112" s="13">
        <f>IF(AND(H112="Yes",J112="Yes",M112="Yes",N112="Yes"),"Yes","No")</f>
        <v/>
      </c>
    </row>
    <row r="113" ht="15" customHeight="1" s="11">
      <c r="A113" s="13" t="inlineStr">
        <is>
          <t>Analyze</t>
        </is>
      </c>
      <c r="B113" s="13" t="inlineStr">
        <is>
          <t>data-feeds</t>
        </is>
      </c>
      <c r="C113" s="13" t="n">
        <v>4</v>
      </c>
      <c r="D113" s="13" t="inlineStr">
        <is>
          <t>Processing Data Feeds</t>
        </is>
      </c>
      <c r="E113" s="13" t="inlineStr">
        <is>
          <t>Section</t>
        </is>
      </c>
      <c r="F113" s="13" t="inlineStr">
        <is>
          <t>/adobe-analytics-learning/analyze/data-feeds/processing-data-feeds/</t>
        </is>
      </c>
      <c r="G113" s="13" t="n"/>
      <c r="H113" s="13" t="inlineStr">
        <is>
          <t>No</t>
        </is>
      </c>
      <c r="I113" s="14" t="inlineStr">
        <is>
          <t>Working with Data Feeds requires understanding how to parse, join, and analyze the raw data.
Common Processing Steps ETL Pipeline ExampleCopy 1. …</t>
        </is>
      </c>
      <c r="J113" s="13" t="inlineStr">
        <is>
          <t>Yes</t>
        </is>
      </c>
      <c r="K113" s="13" t="n">
        <v>0</v>
      </c>
      <c r="L113" s="13" t="n">
        <v>146</v>
      </c>
      <c r="M113" s="13" t="inlineStr">
        <is>
          <t>No</t>
        </is>
      </c>
      <c r="N113" s="13" t="inlineStr">
        <is>
          <t>No</t>
        </is>
      </c>
      <c r="O113" s="13">
        <f>IF(AND(H113="Yes",J113="Yes",M113="Yes",N113="Yes"),"Yes","No")</f>
        <v/>
      </c>
    </row>
    <row r="114" ht="15" customHeight="1" s="11">
      <c r="A114" s="13" t="inlineStr">
        <is>
          <t>Analyze</t>
        </is>
      </c>
      <c r="B114" s="13" t="inlineStr">
        <is>
          <t>data-warehouse</t>
        </is>
      </c>
      <c r="C114" s="13" t="n"/>
      <c r="D114" s="13" t="inlineStr">
        <is>
          <t>Data Warehouse</t>
        </is>
      </c>
      <c r="E114" s="13" t="inlineStr">
        <is>
          <t>Module landing</t>
        </is>
      </c>
      <c r="F114" s="13" t="inlineStr">
        <is>
          <t>/adobe-analytics-learning/analyze/data-warehouse/</t>
        </is>
      </c>
      <c r="G114" s="13" t="inlineStr">
        <is>
          <t>Data Warehouse in Adobe Analytics</t>
        </is>
      </c>
      <c r="H114" s="13" t="inlineStr">
        <is>
          <t>Yes</t>
        </is>
      </c>
      <c r="I114" s="13" t="inlineStr">
        <is>
          <t>Data Warehouse gives you aggregated data on request, including classifications. What it can answer, what it cannot, and how to ask for it.</t>
        </is>
      </c>
      <c r="J114" s="13" t="inlineStr">
        <is>
          <t>Yes</t>
        </is>
      </c>
      <c r="K114" s="13" t="n">
        <v>33</v>
      </c>
      <c r="L114" s="13" t="n">
        <v>138</v>
      </c>
      <c r="M114" s="13" t="inlineStr">
        <is>
          <t>No</t>
        </is>
      </c>
      <c r="N114" s="13" t="inlineStr">
        <is>
          <t>No</t>
        </is>
      </c>
      <c r="O114" s="13">
        <f>IF(AND(H114="Yes",J114="Yes",M114="Yes",N114="Yes"),"Yes","No")</f>
        <v/>
      </c>
    </row>
    <row r="115" ht="15" customHeight="1" s="11">
      <c r="A115" s="13" t="inlineStr">
        <is>
          <t>Analyze</t>
        </is>
      </c>
      <c r="B115" s="13" t="inlineStr">
        <is>
          <t>data-warehouse</t>
        </is>
      </c>
      <c r="C115" s="13" t="n">
        <v>1</v>
      </c>
      <c r="D115" s="13" t="inlineStr">
        <is>
          <t>Data Warehouse Overview</t>
        </is>
      </c>
      <c r="E115" s="13" t="inlineStr">
        <is>
          <t>Section</t>
        </is>
      </c>
      <c r="F115" s="13" t="inlineStr">
        <is>
          <t>/adobe-analytics-learning/analyze/data-warehouse/data-warehouse-overview/</t>
        </is>
      </c>
      <c r="G115" s="13" t="n"/>
      <c r="H115" s="13" t="inlineStr">
        <is>
          <t>No</t>
        </is>
      </c>
      <c r="I115" s="13" t="inlineStr">
        <is>
          <t>Data Warehouse is Adobe Analytics' tool for extracting raw, unsampled data in bulk. It's designed for large-scale data exports and complex queries …</t>
        </is>
      </c>
      <c r="J115" s="13" t="inlineStr">
        <is>
          <t>Yes</t>
        </is>
      </c>
      <c r="K115" s="13" t="n">
        <v>0</v>
      </c>
      <c r="L115" s="13" t="n">
        <v>148</v>
      </c>
      <c r="M115" s="13" t="inlineStr">
        <is>
          <t>No</t>
        </is>
      </c>
      <c r="N115" s="13" t="inlineStr">
        <is>
          <t>No</t>
        </is>
      </c>
      <c r="O115" s="13">
        <f>IF(AND(H115="Yes",J115="Yes",M115="Yes",N115="Yes"),"Yes","No")</f>
        <v/>
      </c>
    </row>
    <row r="116" ht="15" customHeight="1" s="11">
      <c r="A116" s="13" t="inlineStr">
        <is>
          <t>Analyze</t>
        </is>
      </c>
      <c r="B116" s="13" t="inlineStr">
        <is>
          <t>data-warehouse</t>
        </is>
      </c>
      <c r="C116" s="13" t="n">
        <v>2</v>
      </c>
      <c r="D116" s="13" t="inlineStr">
        <is>
          <t>Creating Data Warehouse Requests</t>
        </is>
      </c>
      <c r="E116" s="13" t="inlineStr">
        <is>
          <t>Section</t>
        </is>
      </c>
      <c r="F116" s="13" t="inlineStr">
        <is>
          <t>/adobe-analytics-learning/analyze/data-warehouse/creating-data-warehouse-requests/</t>
        </is>
      </c>
      <c r="G116" s="13" t="n"/>
      <c r="H116" s="13" t="inlineStr">
        <is>
          <t>No</t>
        </is>
      </c>
      <c r="I116" s="14" t="inlineStr">
        <is>
          <t>Data Warehouse requests are built by selecting dimensions, metrics, segments, and date ranges, then choosing a delivery method.
Request Components …</t>
        </is>
      </c>
      <c r="J116" s="13" t="inlineStr">
        <is>
          <t>Yes</t>
        </is>
      </c>
      <c r="K116" s="13" t="n">
        <v>0</v>
      </c>
      <c r="L116" s="13" t="n">
        <v>148</v>
      </c>
      <c r="M116" s="13" t="inlineStr">
        <is>
          <t>No</t>
        </is>
      </c>
      <c r="N116" s="13" t="inlineStr">
        <is>
          <t>No</t>
        </is>
      </c>
      <c r="O116" s="13">
        <f>IF(AND(H116="Yes",J116="Yes",M116="Yes",N116="Yes"),"Yes","No")</f>
        <v/>
      </c>
    </row>
    <row r="117" ht="15" customHeight="1" s="11">
      <c r="A117" s="13" t="inlineStr">
        <is>
          <t>Analyze</t>
        </is>
      </c>
      <c r="B117" s="13" t="inlineStr">
        <is>
          <t>data-warehouse</t>
        </is>
      </c>
      <c r="C117" s="13" t="n">
        <v>3</v>
      </c>
      <c r="D117" s="13" t="inlineStr">
        <is>
          <t>Delivery Options</t>
        </is>
      </c>
      <c r="E117" s="13" t="inlineStr">
        <is>
          <t>Section</t>
        </is>
      </c>
      <c r="F117" s="13" t="inlineStr">
        <is>
          <t>/adobe-analytics-learning/analyze/data-warehouse/delivery-options/</t>
        </is>
      </c>
      <c r="G117" s="13" t="n"/>
      <c r="H117" s="13" t="inlineStr">
        <is>
          <t>No</t>
        </is>
      </c>
      <c r="I117" s="14" t="inlineStr">
        <is>
          <t>Data Warehouse supports multiple delivery destinations for flexibility in data workflows.
Delivery Methods MethodBest ForConfiguration EmailSmall …</t>
        </is>
      </c>
      <c r="J117" s="13" t="inlineStr">
        <is>
          <t>Yes</t>
        </is>
      </c>
      <c r="K117" s="13" t="n">
        <v>0</v>
      </c>
      <c r="L117" s="13" t="n">
        <v>147</v>
      </c>
      <c r="M117" s="13" t="inlineStr">
        <is>
          <t>No</t>
        </is>
      </c>
      <c r="N117" s="13" t="inlineStr">
        <is>
          <t>No</t>
        </is>
      </c>
      <c r="O117" s="13">
        <f>IF(AND(H117="Yes",J117="Yes",M117="Yes",N117="Yes"),"Yes","No")</f>
        <v/>
      </c>
    </row>
    <row r="118" ht="15" customHeight="1" s="11">
      <c r="A118" s="13" t="inlineStr">
        <is>
          <t>Analyze</t>
        </is>
      </c>
      <c r="B118" s="13" t="inlineStr">
        <is>
          <t>data-warehouse</t>
        </is>
      </c>
      <c r="C118" s="13" t="n">
        <v>4</v>
      </c>
      <c r="D118" s="13" t="inlineStr">
        <is>
          <t>Best Practices and Use Cases</t>
        </is>
      </c>
      <c r="E118" s="13" t="inlineStr">
        <is>
          <t>Section</t>
        </is>
      </c>
      <c r="F118" s="13" t="inlineStr">
        <is>
          <t>/adobe-analytics-learning/analyze/data-warehouse/best-practices-use-cases/</t>
        </is>
      </c>
      <c r="G118" s="13" t="n"/>
      <c r="H118" s="13" t="inlineStr">
        <is>
          <t>No</t>
        </is>
      </c>
      <c r="I118" s="14" t="inlineStr">
        <is>
          <t>Use Data Warehouse effectively by understanding its strengths and optimal use cases.
When to Use Data Warehouse Use CaseWhy Data Warehouse Data lake …</t>
        </is>
      </c>
      <c r="J118" s="13" t="inlineStr">
        <is>
          <t>Yes</t>
        </is>
      </c>
      <c r="K118" s="13" t="n">
        <v>0</v>
      </c>
      <c r="L118" s="13" t="n">
        <v>150</v>
      </c>
      <c r="M118" s="13" t="inlineStr">
        <is>
          <t>No</t>
        </is>
      </c>
      <c r="N118" s="13" t="inlineStr">
        <is>
          <t>No</t>
        </is>
      </c>
      <c r="O118" s="13">
        <f>IF(AND(H118="Yes",J118="Yes",M118="Yes",N118="Yes"),"Yes","No")</f>
        <v/>
      </c>
    </row>
    <row r="119" ht="15" customHeight="1" s="11">
      <c r="A119" s="13" t="inlineStr">
        <is>
          <t>Analyze</t>
        </is>
      </c>
      <c r="B119" s="13" t="inlineStr">
        <is>
          <t>segments</t>
        </is>
      </c>
      <c r="C119" s="13" t="n"/>
      <c r="D119" s="13" t="inlineStr">
        <is>
          <t>Segments</t>
        </is>
      </c>
      <c r="E119" s="13" t="inlineStr">
        <is>
          <t>Module landing</t>
        </is>
      </c>
      <c r="F119" s="13" t="inlineStr">
        <is>
          <t>/adobe-analytics-learning/analyze/segments/</t>
        </is>
      </c>
      <c r="G119" s="13" t="inlineStr">
        <is>
          <t>Segments in Adobe Analytics</t>
        </is>
      </c>
      <c r="H119" s="13" t="inlineStr">
        <is>
          <t>Yes</t>
        </is>
      </c>
      <c r="I119" s="13" t="inlineStr">
        <is>
          <t>Build segments that ask real questions of your data. Containers, logic, sequences, and how to keep a segment library from becoming a swamp.</t>
        </is>
      </c>
      <c r="J119" s="13" t="inlineStr">
        <is>
          <t>Yes</t>
        </is>
      </c>
      <c r="K119" s="13" t="n">
        <v>27</v>
      </c>
      <c r="L119" s="13" t="n">
        <v>139</v>
      </c>
      <c r="M119" s="13" t="inlineStr">
        <is>
          <t>No</t>
        </is>
      </c>
      <c r="N119" s="13" t="inlineStr">
        <is>
          <t>No</t>
        </is>
      </c>
      <c r="O119" s="13">
        <f>IF(AND(H119="Yes",J119="Yes",M119="Yes",N119="Yes"),"Yes","No")</f>
        <v/>
      </c>
    </row>
    <row r="120" ht="15" customHeight="1" s="11">
      <c r="A120" s="13" t="inlineStr">
        <is>
          <t>Analyze</t>
        </is>
      </c>
      <c r="B120" s="13" t="inlineStr">
        <is>
          <t>segments</t>
        </is>
      </c>
      <c r="C120" s="13" t="n">
        <v>1</v>
      </c>
      <c r="D120" s="13" t="inlineStr">
        <is>
          <t>Understanding Segments</t>
        </is>
      </c>
      <c r="E120" s="13" t="inlineStr">
        <is>
          <t>Section</t>
        </is>
      </c>
      <c r="F120" s="13" t="inlineStr">
        <is>
          <t>/adobe-analytics-learning/analyze/segments/understanding-segments/</t>
        </is>
      </c>
      <c r="G120" s="13" t="n"/>
      <c r="H120" s="13" t="inlineStr">
        <is>
          <t>No</t>
        </is>
      </c>
      <c r="I120" s="13" t="inlineStr">
        <is>
          <t>Filter is the wrong word for it. A segment is a named, reusable, scoped slice of your journey data, and it is where real analysis in Adobe begins.</t>
        </is>
      </c>
      <c r="J120" s="13" t="inlineStr">
        <is>
          <t>Yes</t>
        </is>
      </c>
      <c r="K120" s="13" t="n">
        <v>0</v>
      </c>
      <c r="L120" s="13" t="n">
        <v>146</v>
      </c>
      <c r="M120" s="13" t="inlineStr">
        <is>
          <t>Yes</t>
        </is>
      </c>
      <c r="N120" s="13" t="inlineStr">
        <is>
          <t>No</t>
        </is>
      </c>
      <c r="O120" s="13">
        <f>IF(AND(H120="Yes",J120="Yes",M120="Yes",N120="Yes"),"Yes","No")</f>
        <v/>
      </c>
    </row>
    <row r="121" ht="15" customHeight="1" s="11">
      <c r="A121" s="13" t="inlineStr">
        <is>
          <t>Analyze</t>
        </is>
      </c>
      <c r="B121" s="13" t="inlineStr">
        <is>
          <t>segments</t>
        </is>
      </c>
      <c r="C121" s="13" t="n">
        <v>2</v>
      </c>
      <c r="D121" s="13" t="inlineStr">
        <is>
          <t>Segment Containers</t>
        </is>
      </c>
      <c r="E121" s="13" t="inlineStr">
        <is>
          <t>Section</t>
        </is>
      </c>
      <c r="F121" s="13" t="inlineStr">
        <is>
          <t>/adobe-analytics-learning/analyze/segments/segment-containers/</t>
        </is>
      </c>
      <c r="G121" s="13" t="n"/>
      <c r="H121" s="13" t="inlineStr">
        <is>
          <t>No</t>
        </is>
      </c>
      <c r="I121" s="13" t="inlineStr">
        <is>
          <t>The container decides how much of the journey a segment pulls in: one hit, one visit, or a whole visitor. Get it wrong and the numbers quietly lie.</t>
        </is>
      </c>
      <c r="J121" s="13" t="inlineStr">
        <is>
          <t>Yes</t>
        </is>
      </c>
      <c r="K121" s="13" t="n">
        <v>0</v>
      </c>
      <c r="L121" s="13" t="n">
        <v>147</v>
      </c>
      <c r="M121" s="13" t="inlineStr">
        <is>
          <t>Yes</t>
        </is>
      </c>
      <c r="N121" s="13" t="inlineStr">
        <is>
          <t>No</t>
        </is>
      </c>
      <c r="O121" s="13">
        <f>IF(AND(H121="Yes",J121="Yes",M121="Yes",N121="Yes"),"Yes","No")</f>
        <v/>
      </c>
    </row>
    <row r="122" ht="15" customHeight="1" s="11">
      <c r="A122" s="13" t="inlineStr">
        <is>
          <t>Analyze</t>
        </is>
      </c>
      <c r="B122" s="13" t="inlineStr">
        <is>
          <t>segments</t>
        </is>
      </c>
      <c r="C122" s="13" t="n">
        <v>3</v>
      </c>
      <c r="D122" s="13" t="inlineStr">
        <is>
          <t>Segment Logic and Operators</t>
        </is>
      </c>
      <c r="E122" s="13" t="inlineStr">
        <is>
          <t>Section</t>
        </is>
      </c>
      <c r="F122" s="13" t="inlineStr">
        <is>
          <t>/adobe-analytics-learning/analyze/segments/segment-logic-operators/</t>
        </is>
      </c>
      <c r="G122" s="13" t="n"/>
      <c r="H122" s="13" t="inlineStr">
        <is>
          <t>No</t>
        </is>
      </c>
      <c r="I122" s="13" t="inlineStr">
        <is>
          <t>Operators are what lift a segment past a spreadsheet dropdown: how one condition matches a value, and how conditions combine with And, Or, and nesting.</t>
        </is>
      </c>
      <c r="J122" s="13" t="inlineStr">
        <is>
          <t>Yes</t>
        </is>
      </c>
      <c r="K122" s="13" t="n">
        <v>0</v>
      </c>
      <c r="L122" s="13" t="n">
        <v>151</v>
      </c>
      <c r="M122" s="13" t="inlineStr">
        <is>
          <t>Yes</t>
        </is>
      </c>
      <c r="N122" s="13" t="inlineStr">
        <is>
          <t>No</t>
        </is>
      </c>
      <c r="O122" s="13">
        <f>IF(AND(H122="Yes",J122="Yes",M122="Yes",N122="Yes"),"Yes","No")</f>
        <v/>
      </c>
    </row>
    <row r="123" ht="15" customHeight="1" s="11">
      <c r="A123" s="13" t="inlineStr">
        <is>
          <t>Analyze</t>
        </is>
      </c>
      <c r="B123" s="13" t="inlineStr">
        <is>
          <t>segments</t>
        </is>
      </c>
      <c r="C123" s="13" t="n">
        <v>4</v>
      </c>
      <c r="D123" s="13" t="inlineStr">
        <is>
          <t>Sequential Segments</t>
        </is>
      </c>
      <c r="E123" s="13" t="inlineStr">
        <is>
          <t>Section</t>
        </is>
      </c>
      <c r="F123" s="13" t="inlineStr">
        <is>
          <t>/adobe-analytics-learning/analyze/segments/sequential-segments/</t>
        </is>
      </c>
      <c r="G123" s="13" t="n"/>
      <c r="H123" s="13" t="inlineStr">
        <is>
          <t>No</t>
        </is>
      </c>
      <c r="I123" s="13" t="inlineStr">
        <is>
          <t>And asks whether things happened. THEN asks whether they happened in order. Sequential segments turn a set of conditions into a journey with direction.</t>
        </is>
      </c>
      <c r="J123" s="13" t="inlineStr">
        <is>
          <t>Yes</t>
        </is>
      </c>
      <c r="K123" s="13" t="n">
        <v>0</v>
      </c>
      <c r="L123" s="13" t="n">
        <v>151</v>
      </c>
      <c r="M123" s="13" t="inlineStr">
        <is>
          <t>Yes</t>
        </is>
      </c>
      <c r="N123" s="13" t="inlineStr">
        <is>
          <t>No</t>
        </is>
      </c>
      <c r="O123" s="13">
        <f>IF(AND(H123="Yes",J123="Yes",M123="Yes",N123="Yes"),"Yes","No")</f>
        <v/>
      </c>
    </row>
    <row r="124" ht="15" customHeight="1" s="11">
      <c r="A124" s="13" t="inlineStr">
        <is>
          <t>Analyze</t>
        </is>
      </c>
      <c r="B124" s="13" t="inlineStr">
        <is>
          <t>segments</t>
        </is>
      </c>
      <c r="C124" s="13" t="n">
        <v>5</v>
      </c>
      <c r="D124" s="13" t="inlineStr">
        <is>
          <t>Segment Types and Sharing</t>
        </is>
      </c>
      <c r="E124" s="13" t="inlineStr">
        <is>
          <t>Section</t>
        </is>
      </c>
      <c r="F124" s="13" t="inlineStr">
        <is>
          <t>/adobe-analytics-learning/analyze/segments/segment-types-sharing/</t>
        </is>
      </c>
      <c r="G124" s="13" t="n"/>
      <c r="H124" s="13" t="inlineStr">
        <is>
          <t>No</t>
        </is>
      </c>
      <c r="I124" s="13" t="inlineStr">
        <is>
          <t>A segment is worth only as much as the people and tools that can reach it. Here is how one definition gets saved, shared, published, and reused everywhere.</t>
        </is>
      </c>
      <c r="J124" s="13" t="inlineStr">
        <is>
          <t>Yes</t>
        </is>
      </c>
      <c r="K124" s="13" t="n">
        <v>0</v>
      </c>
      <c r="L124" s="13" t="n">
        <v>155</v>
      </c>
      <c r="M124" s="13" t="inlineStr">
        <is>
          <t>Yes</t>
        </is>
      </c>
      <c r="N124" s="13" t="inlineStr">
        <is>
          <t>No</t>
        </is>
      </c>
      <c r="O124" s="13">
        <f>IF(AND(H124="Yes",J124="Yes",M124="Yes",N124="Yes"),"Yes","No")</f>
        <v/>
      </c>
    </row>
    <row r="125" ht="15" customHeight="1" s="11">
      <c r="A125" s="13" t="inlineStr">
        <is>
          <t>Analyze</t>
        </is>
      </c>
      <c r="B125" s="13" t="inlineStr">
        <is>
          <t>segments</t>
        </is>
      </c>
      <c r="C125" s="13" t="n">
        <v>6</v>
      </c>
      <c r="D125" s="13" t="inlineStr">
        <is>
          <t>Segment Best Practices</t>
        </is>
      </c>
      <c r="E125" s="13" t="inlineStr">
        <is>
          <t>Section</t>
        </is>
      </c>
      <c r="F125" s="13" t="inlineStr">
        <is>
          <t>/adobe-analytics-learning/analyze/segments/segment-best-practices/</t>
        </is>
      </c>
      <c r="G125" s="13" t="n"/>
      <c r="H125" s="13" t="inlineStr">
        <is>
          <t>No</t>
        </is>
      </c>
      <c r="I125" s="13" t="inlineStr">
        <is>
          <t>Anyone can build a segment. The craft is building ones that stay correct, run fast, stay findable, and keep an organization counting the same thing.</t>
        </is>
      </c>
      <c r="J125" s="13" t="inlineStr">
        <is>
          <t>Yes</t>
        </is>
      </c>
      <c r="K125" s="13" t="n">
        <v>0</v>
      </c>
      <c r="L125" s="13" t="n">
        <v>148</v>
      </c>
      <c r="M125" s="13" t="inlineStr">
        <is>
          <t>Yes</t>
        </is>
      </c>
      <c r="N125" s="13" t="inlineStr">
        <is>
          <t>No</t>
        </is>
      </c>
      <c r="O125" s="13">
        <f>IF(AND(H125="Yes",J125="Yes",M125="Yes",N125="Yes"),"Yes","No")</f>
        <v/>
      </c>
    </row>
    <row r="126" ht="15" customHeight="1" s="11">
      <c r="A126" s="13" t="inlineStr">
        <is>
          <t>Deliver</t>
        </is>
      </c>
      <c r="B126" s="13" t="n"/>
      <c r="C126" s="13" t="n"/>
      <c r="D126" s="13" t="inlineStr">
        <is>
          <t>Deliver and maintain</t>
        </is>
      </c>
      <c r="E126" s="13" t="inlineStr">
        <is>
          <t>Category landing</t>
        </is>
      </c>
      <c r="F126" s="13" t="inlineStr">
        <is>
          <t>/adobe-analytics-learning/deliver/</t>
        </is>
      </c>
      <c r="G126" s="13" t="inlineStr">
        <is>
          <t>Delivering and Maintaining Adobe Analytics</t>
        </is>
      </c>
      <c r="H126" s="13" t="inlineStr">
        <is>
          <t>Yes</t>
        </is>
      </c>
      <c r="I126" s="13" t="inlineStr">
        <is>
          <t>The work that keeps an implementation trustworthy: designing it up front with a solution design reference, proving it works, and carrying the data forward into Customer Journey Analytics.</t>
        </is>
      </c>
      <c r="J126" s="13" t="inlineStr">
        <is>
          <t>Yes</t>
        </is>
      </c>
      <c r="K126" s="13" t="n">
        <v>42</v>
      </c>
      <c r="L126" s="13" t="n">
        <v>187</v>
      </c>
      <c r="M126" s="13" t="inlineStr">
        <is>
          <t>No</t>
        </is>
      </c>
      <c r="N126" s="13" t="inlineStr">
        <is>
          <t>No</t>
        </is>
      </c>
      <c r="O126" s="13">
        <f>IF(AND(H126="Yes",J126="Yes",M126="Yes",N126="Yes"),"Yes","No")</f>
        <v/>
      </c>
    </row>
    <row r="127" ht="15" customHeight="1" s="11">
      <c r="A127" s="13" t="inlineStr">
        <is>
          <t>Deliver</t>
        </is>
      </c>
      <c r="B127" s="13" t="inlineStr">
        <is>
          <t>adobe-analytics-cja</t>
        </is>
      </c>
      <c r="C127" s="13" t="n"/>
      <c r="D127" s="13" t="inlineStr">
        <is>
          <t>Adobe Analytics and CJA</t>
        </is>
      </c>
      <c r="E127" s="13" t="inlineStr">
        <is>
          <t>Module landing</t>
        </is>
      </c>
      <c r="F127" s="13" t="inlineStr">
        <is>
          <t>/adobe-analytics-learning/deliver/adobe-analytics-cja/</t>
        </is>
      </c>
      <c r="G127" s="13" t="inlineStr">
        <is>
          <t>Adobe Analytics and CJA</t>
        </is>
      </c>
      <c r="H127" s="13" t="inlineStr">
        <is>
          <t>Yes</t>
        </is>
      </c>
      <c r="I127" s="13" t="inlineStr">
        <is>
          <t>What Customer Journey Analytics changes, how it connects to Experience Platform, and what a migration actually involves.</t>
        </is>
      </c>
      <c r="J127" s="13" t="inlineStr">
        <is>
          <t>Yes</t>
        </is>
      </c>
      <c r="K127" s="13" t="n">
        <v>23</v>
      </c>
      <c r="L127" s="13" t="n">
        <v>120</v>
      </c>
      <c r="M127" s="13" t="inlineStr">
        <is>
          <t>No</t>
        </is>
      </c>
      <c r="N127" s="13" t="inlineStr">
        <is>
          <t>No</t>
        </is>
      </c>
      <c r="O127" s="13">
        <f>IF(AND(H127="Yes",J127="Yes",M127="Yes",N127="Yes"),"Yes","No")</f>
        <v/>
      </c>
    </row>
    <row r="128" ht="15" customHeight="1" s="11">
      <c r="A128" s="13" t="inlineStr">
        <is>
          <t>Deliver</t>
        </is>
      </c>
      <c r="B128" s="13" t="inlineStr">
        <is>
          <t>adobe-analytics-cja</t>
        </is>
      </c>
      <c r="C128" s="13" t="n">
        <v>1</v>
      </c>
      <c r="D128" s="13" t="inlineStr">
        <is>
          <t>What Is Customer Journey Analytics</t>
        </is>
      </c>
      <c r="E128" s="13" t="inlineStr">
        <is>
          <t>Section</t>
        </is>
      </c>
      <c r="F128" s="13" t="inlineStr">
        <is>
          <t>/adobe-analytics-learning/deliver/adobe-analytics-cja/what-is-customer-journey-analytics/</t>
        </is>
      </c>
      <c r="G128" s="13" t="n"/>
      <c r="H128" s="13" t="inlineStr">
        <is>
          <t>No</t>
        </is>
      </c>
      <c r="I128" s="13" t="inlineStr">
        <is>
          <t>This section is not yet written.</t>
        </is>
      </c>
      <c r="J128" s="13" t="inlineStr">
        <is>
          <t>Yes</t>
        </is>
      </c>
      <c r="K128" s="13" t="n">
        <v>0</v>
      </c>
      <c r="L128" s="13" t="n">
        <v>32</v>
      </c>
      <c r="M128" s="13" t="inlineStr">
        <is>
          <t>No</t>
        </is>
      </c>
      <c r="N128" s="13" t="inlineStr">
        <is>
          <t>No</t>
        </is>
      </c>
      <c r="O128" s="13">
        <f>IF(AND(H128="Yes",J128="Yes",M128="Yes",N128="Yes"),"Yes","No")</f>
        <v/>
      </c>
    </row>
    <row r="129" ht="15" customHeight="1" s="11">
      <c r="A129" s="13" t="inlineStr">
        <is>
          <t>Deliver</t>
        </is>
      </c>
      <c r="B129" s="13" t="inlineStr">
        <is>
          <t>adobe-analytics-cja</t>
        </is>
      </c>
      <c r="C129" s="13" t="n">
        <v>2</v>
      </c>
      <c r="D129" s="13" t="inlineStr">
        <is>
          <t>Adobe Experience Platform Integration</t>
        </is>
      </c>
      <c r="E129" s="13" t="inlineStr">
        <is>
          <t>Section</t>
        </is>
      </c>
      <c r="F129" s="13" t="inlineStr">
        <is>
          <t>/adobe-analytics-learning/deliver/adobe-analytics-cja/adobe-experience-platform-integration/</t>
        </is>
      </c>
      <c r="G129" s="13" t="inlineStr">
        <is>
          <t>Adobe Analytics and Experience Platform Integration</t>
        </is>
      </c>
      <c r="H129" s="13" t="inlineStr">
        <is>
          <t>Yes</t>
        </is>
      </c>
      <c r="I129" s="13" t="inlineStr">
        <is>
          <t>Adobe Analytics integrates deeply with Adobe Experience Platform (AEP) for enhanced data collection, unified profiles, and advanced activation. …</t>
        </is>
      </c>
      <c r="J129" s="13" t="inlineStr">
        <is>
          <t>Yes</t>
        </is>
      </c>
      <c r="K129" s="13" t="n">
        <v>51</v>
      </c>
      <c r="L129" s="13" t="n">
        <v>145</v>
      </c>
      <c r="M129" s="13" t="inlineStr">
        <is>
          <t>No</t>
        </is>
      </c>
      <c r="N129" s="13" t="inlineStr">
        <is>
          <t>No</t>
        </is>
      </c>
      <c r="O129" s="13">
        <f>IF(AND(H129="Yes",J129="Yes",M129="Yes",N129="Yes"),"Yes","No")</f>
        <v/>
      </c>
    </row>
    <row r="130" ht="15" customHeight="1" s="11">
      <c r="A130" s="13" t="inlineStr">
        <is>
          <t>Deliver</t>
        </is>
      </c>
      <c r="B130" s="13" t="inlineStr">
        <is>
          <t>adobe-analytics-cja</t>
        </is>
      </c>
      <c r="C130" s="13" t="n">
        <v>3</v>
      </c>
      <c r="D130" s="13" t="inlineStr">
        <is>
          <t>Cross-Device Analytics</t>
        </is>
      </c>
      <c r="E130" s="13" t="inlineStr">
        <is>
          <t>Section</t>
        </is>
      </c>
      <c r="F130" s="13" t="inlineStr">
        <is>
          <t>/adobe-analytics-learning/deliver/adobe-analytics-cja/cross-device-analytics/</t>
        </is>
      </c>
      <c r="G130" s="13" t="inlineStr">
        <is>
          <t>Cross-Device Analytics in Adobe</t>
        </is>
      </c>
      <c r="H130" s="13" t="inlineStr">
        <is>
          <t>Yes</t>
        </is>
      </c>
      <c r="I130" s="13" t="inlineStr">
        <is>
          <t>Cross-Device Analytics (CDA) stitches visitor data across devices to provide a unified view of the customer journey, reducing duplicate visitor counts …</t>
        </is>
      </c>
      <c r="J130" s="13" t="inlineStr">
        <is>
          <t>Yes</t>
        </is>
      </c>
      <c r="K130" s="13" t="n">
        <v>31</v>
      </c>
      <c r="L130" s="13" t="n">
        <v>152</v>
      </c>
      <c r="M130" s="13" t="inlineStr">
        <is>
          <t>No</t>
        </is>
      </c>
      <c r="N130" s="13" t="inlineStr">
        <is>
          <t>No</t>
        </is>
      </c>
      <c r="O130" s="13">
        <f>IF(AND(H130="Yes",J130="Yes",M130="Yes",N130="Yes"),"Yes","No")</f>
        <v/>
      </c>
    </row>
    <row r="131" ht="15" customHeight="1" s="11">
      <c r="A131" s="13" t="inlineStr">
        <is>
          <t>Deliver</t>
        </is>
      </c>
      <c r="B131" s="13" t="inlineStr">
        <is>
          <t>adobe-analytics-cja</t>
        </is>
      </c>
      <c r="C131" s="13" t="n">
        <v>4</v>
      </c>
      <c r="D131" s="13" t="inlineStr">
        <is>
          <t>Migrating to CJA</t>
        </is>
      </c>
      <c r="E131" s="13" t="inlineStr">
        <is>
          <t>Section</t>
        </is>
      </c>
      <c r="F131" s="13" t="inlineStr">
        <is>
          <t>/adobe-analytics-learning/deliver/adobe-analytics-cja/migrating-to-cja/</t>
        </is>
      </c>
      <c r="G131" s="13" t="inlineStr">
        <is>
          <t>Migrating from Adobe Analytics to CJA</t>
        </is>
      </c>
      <c r="H131" s="13" t="inlineStr">
        <is>
          <t>Yes</t>
        </is>
      </c>
      <c r="I131" s="13" t="inlineStr">
        <is>
          <t>This section is not yet written.</t>
        </is>
      </c>
      <c r="J131" s="13" t="inlineStr">
        <is>
          <t>Yes</t>
        </is>
      </c>
      <c r="K131" s="13" t="n">
        <v>37</v>
      </c>
      <c r="L131" s="13" t="n">
        <v>32</v>
      </c>
      <c r="M131" s="13" t="inlineStr">
        <is>
          <t>No</t>
        </is>
      </c>
      <c r="N131" s="13" t="inlineStr">
        <is>
          <t>No</t>
        </is>
      </c>
      <c r="O131" s="13">
        <f>IF(AND(H131="Yes",J131="Yes",M131="Yes",N131="Yes"),"Yes","No")</f>
        <v/>
      </c>
    </row>
    <row r="132" ht="15" customHeight="1" s="11">
      <c r="A132" s="13" t="inlineStr">
        <is>
          <t>Deliver</t>
        </is>
      </c>
      <c r="B132" s="13" t="inlineStr">
        <is>
          <t>adobe-analytics-cja</t>
        </is>
      </c>
      <c r="C132" s="13" t="n">
        <v>5</v>
      </c>
      <c r="D132" s="13" t="inlineStr">
        <is>
          <t>What to Learn Next</t>
        </is>
      </c>
      <c r="E132" s="13" t="inlineStr">
        <is>
          <t>Section</t>
        </is>
      </c>
      <c r="F132" s="13" t="inlineStr">
        <is>
          <t>/adobe-analytics-learning/deliver/adobe-analytics-cja/what-to-learn-next/</t>
        </is>
      </c>
      <c r="G132" s="13" t="n"/>
      <c r="H132" s="13" t="inlineStr">
        <is>
          <t>No</t>
        </is>
      </c>
      <c r="I132" s="13" t="inlineStr">
        <is>
          <t>This section is not yet written.</t>
        </is>
      </c>
      <c r="J132" s="13" t="inlineStr">
        <is>
          <t>Yes</t>
        </is>
      </c>
      <c r="K132" s="13" t="n">
        <v>0</v>
      </c>
      <c r="L132" s="13" t="n">
        <v>32</v>
      </c>
      <c r="M132" s="13" t="inlineStr">
        <is>
          <t>No</t>
        </is>
      </c>
      <c r="N132" s="13" t="inlineStr">
        <is>
          <t>No</t>
        </is>
      </c>
      <c r="O132" s="13">
        <f>IF(AND(H132="Yes",J132="Yes",M132="Yes",N132="Yes"),"Yes","No")</f>
        <v/>
      </c>
    </row>
    <row r="133" ht="15" customHeight="1" s="11">
      <c r="A133" s="13" t="inlineStr">
        <is>
          <t>Deliver</t>
        </is>
      </c>
      <c r="B133" s="13" t="inlineStr">
        <is>
          <t>solution-design-reference</t>
        </is>
      </c>
      <c r="C133" s="13" t="n"/>
      <c r="D133" s="13" t="inlineStr">
        <is>
          <t>Solution Design Reference (SDR)</t>
        </is>
      </c>
      <c r="E133" s="13" t="inlineStr">
        <is>
          <t>Module landing</t>
        </is>
      </c>
      <c r="F133" s="13" t="inlineStr">
        <is>
          <t>/adobe-analytics-learning/deliver/solution-design-reference/</t>
        </is>
      </c>
      <c r="G133" s="13" t="inlineStr">
        <is>
          <t>The Solution Design Reference (SDR)</t>
        </is>
      </c>
      <c r="H133" s="13" t="inlineStr">
        <is>
          <t>Yes</t>
        </is>
      </c>
      <c r="I133" s="13" t="inlineStr">
        <is>
          <t>The design artifact that determines whether an implementation succeeds: requirements, structure, variable mapping, developer instructions, and sign-off.</t>
        </is>
      </c>
      <c r="J133" s="13" t="inlineStr">
        <is>
          <t>Yes</t>
        </is>
      </c>
      <c r="K133" s="13" t="n">
        <v>35</v>
      </c>
      <c r="L133" s="13" t="n">
        <v>152</v>
      </c>
      <c r="M133" s="13" t="inlineStr">
        <is>
          <t>No</t>
        </is>
      </c>
      <c r="N133" s="13" t="inlineStr">
        <is>
          <t>No</t>
        </is>
      </c>
      <c r="O133" s="13">
        <f>IF(AND(H133="Yes",J133="Yes",M133="Yes",N133="Yes"),"Yes","No")</f>
        <v/>
      </c>
    </row>
    <row r="134" ht="15" customHeight="1" s="11">
      <c r="A134" s="13" t="inlineStr">
        <is>
          <t>Deliver</t>
        </is>
      </c>
      <c r="B134" s="13" t="inlineStr">
        <is>
          <t>solution-design-reference</t>
        </is>
      </c>
      <c r="C134" s="13" t="n">
        <v>1</v>
      </c>
      <c r="D134" s="13" t="inlineStr">
        <is>
          <t>What Is an SDR</t>
        </is>
      </c>
      <c r="E134" s="13" t="inlineStr">
        <is>
          <t>Section</t>
        </is>
      </c>
      <c r="F134" s="13" t="inlineStr">
        <is>
          <t>/adobe-analytics-learning/deliver/solution-design-reference/what-is-an-sdr/</t>
        </is>
      </c>
      <c r="G134" s="13" t="inlineStr">
        <is>
          <t>What Is a Solution Design Reference (SDR)</t>
        </is>
      </c>
      <c r="H134" s="13" t="inlineStr">
        <is>
          <t>Yes</t>
        </is>
      </c>
      <c r="I134" s="13" t="inlineStr">
        <is>
          <t>This section is not yet written.</t>
        </is>
      </c>
      <c r="J134" s="13" t="inlineStr">
        <is>
          <t>Yes</t>
        </is>
      </c>
      <c r="K134" s="13" t="n">
        <v>41</v>
      </c>
      <c r="L134" s="13" t="n">
        <v>32</v>
      </c>
      <c r="M134" s="13" t="inlineStr">
        <is>
          <t>No</t>
        </is>
      </c>
      <c r="N134" s="13" t="inlineStr">
        <is>
          <t>No</t>
        </is>
      </c>
      <c r="O134" s="13">
        <f>IF(AND(H134="Yes",J134="Yes",M134="Yes",N134="Yes"),"Yes","No")</f>
        <v/>
      </c>
    </row>
    <row r="135" ht="15" customHeight="1" s="11">
      <c r="A135" s="13" t="inlineStr">
        <is>
          <t>Deliver</t>
        </is>
      </c>
      <c r="B135" s="13" t="inlineStr">
        <is>
          <t>solution-design-reference</t>
        </is>
      </c>
      <c r="C135" s="13" t="n">
        <v>2</v>
      </c>
      <c r="D135" s="13" t="inlineStr">
        <is>
          <t>Business Requirements Document</t>
        </is>
      </c>
      <c r="E135" s="13" t="inlineStr">
        <is>
          <t>Section</t>
        </is>
      </c>
      <c r="F135" s="13" t="inlineStr">
        <is>
          <t>/adobe-analytics-learning/deliver/solution-design-reference/business-requirements-document/</t>
        </is>
      </c>
      <c r="G135" s="13" t="inlineStr">
        <is>
          <t>Business Requirements Document (BRD) for Analytics</t>
        </is>
      </c>
      <c r="H135" s="13" t="inlineStr">
        <is>
          <t>Yes</t>
        </is>
      </c>
      <c r="I135" s="13" t="inlineStr">
        <is>
          <t>This section is not yet written.</t>
        </is>
      </c>
      <c r="J135" s="13" t="inlineStr">
        <is>
          <t>Yes</t>
        </is>
      </c>
      <c r="K135" s="13" t="n">
        <v>50</v>
      </c>
      <c r="L135" s="13" t="n">
        <v>32</v>
      </c>
      <c r="M135" s="13" t="inlineStr">
        <is>
          <t>No</t>
        </is>
      </c>
      <c r="N135" s="13" t="inlineStr">
        <is>
          <t>No</t>
        </is>
      </c>
      <c r="O135" s="13">
        <f>IF(AND(H135="Yes",J135="Yes",M135="Yes",N135="Yes"),"Yes","No")</f>
        <v/>
      </c>
    </row>
    <row r="136" ht="15" customHeight="1" s="11">
      <c r="A136" s="13" t="inlineStr">
        <is>
          <t>Deliver</t>
        </is>
      </c>
      <c r="B136" s="13" t="inlineStr">
        <is>
          <t>solution-design-reference</t>
        </is>
      </c>
      <c r="C136" s="13" t="n">
        <v>3</v>
      </c>
      <c r="D136" s="13" t="inlineStr">
        <is>
          <t>SDR Structure</t>
        </is>
      </c>
      <c r="E136" s="13" t="inlineStr">
        <is>
          <t>Section</t>
        </is>
      </c>
      <c r="F136" s="13" t="inlineStr">
        <is>
          <t>/adobe-analytics-learning/deliver/solution-design-reference/sdr-structure/</t>
        </is>
      </c>
      <c r="G136" s="13" t="inlineStr">
        <is>
          <t>SDR Structure for Adobe Analytics</t>
        </is>
      </c>
      <c r="H136" s="13" t="inlineStr">
        <is>
          <t>Yes</t>
        </is>
      </c>
      <c r="I136" s="13" t="inlineStr">
        <is>
          <t>This section is not yet written.</t>
        </is>
      </c>
      <c r="J136" s="13" t="inlineStr">
        <is>
          <t>Yes</t>
        </is>
      </c>
      <c r="K136" s="13" t="n">
        <v>33</v>
      </c>
      <c r="L136" s="13" t="n">
        <v>32</v>
      </c>
      <c r="M136" s="13" t="inlineStr">
        <is>
          <t>No</t>
        </is>
      </c>
      <c r="N136" s="13" t="inlineStr">
        <is>
          <t>No</t>
        </is>
      </c>
      <c r="O136" s="13">
        <f>IF(AND(H136="Yes",J136="Yes",M136="Yes",N136="Yes"),"Yes","No")</f>
        <v/>
      </c>
    </row>
    <row r="137" ht="15" customHeight="1" s="11">
      <c r="A137" s="13" t="inlineStr">
        <is>
          <t>Deliver</t>
        </is>
      </c>
      <c r="B137" s="13" t="inlineStr">
        <is>
          <t>solution-design-reference</t>
        </is>
      </c>
      <c r="C137" s="13" t="n">
        <v>4</v>
      </c>
      <c r="D137" s="13" t="inlineStr">
        <is>
          <t>Variable Mapping</t>
        </is>
      </c>
      <c r="E137" s="13" t="inlineStr">
        <is>
          <t>Section</t>
        </is>
      </c>
      <c r="F137" s="13" t="inlineStr">
        <is>
          <t>/adobe-analytics-learning/deliver/solution-design-reference/variable-mapping/</t>
        </is>
      </c>
      <c r="G137" s="13" t="inlineStr">
        <is>
          <t>Variable Mapping in an Adobe Analytics SDR</t>
        </is>
      </c>
      <c r="H137" s="13" t="inlineStr">
        <is>
          <t>Yes</t>
        </is>
      </c>
      <c r="I137" s="13" t="inlineStr">
        <is>
          <t>This section is not yet written.</t>
        </is>
      </c>
      <c r="J137" s="13" t="inlineStr">
        <is>
          <t>Yes</t>
        </is>
      </c>
      <c r="K137" s="13" t="n">
        <v>42</v>
      </c>
      <c r="L137" s="13" t="n">
        <v>32</v>
      </c>
      <c r="M137" s="13" t="inlineStr">
        <is>
          <t>No</t>
        </is>
      </c>
      <c r="N137" s="13" t="inlineStr">
        <is>
          <t>No</t>
        </is>
      </c>
      <c r="O137" s="13">
        <f>IF(AND(H137="Yes",J137="Yes",M137="Yes",N137="Yes"),"Yes","No")</f>
        <v/>
      </c>
    </row>
    <row r="138" ht="15" customHeight="1" s="11">
      <c r="A138" s="13" t="inlineStr">
        <is>
          <t>Deliver</t>
        </is>
      </c>
      <c r="B138" s="13" t="inlineStr">
        <is>
          <t>solution-design-reference</t>
        </is>
      </c>
      <c r="C138" s="13" t="n">
        <v>5</v>
      </c>
      <c r="D138" s="13" t="inlineStr">
        <is>
          <t>Developer Instructions</t>
        </is>
      </c>
      <c r="E138" s="13" t="inlineStr">
        <is>
          <t>Section</t>
        </is>
      </c>
      <c r="F138" s="13" t="inlineStr">
        <is>
          <t>/adobe-analytics-learning/deliver/solution-design-reference/developer-instructions/</t>
        </is>
      </c>
      <c r="G138" s="13" t="inlineStr">
        <is>
          <t>Writing Developer Instructions in an SDR</t>
        </is>
      </c>
      <c r="H138" s="13" t="inlineStr">
        <is>
          <t>Yes</t>
        </is>
      </c>
      <c r="I138" s="13" t="inlineStr">
        <is>
          <t>This section is not yet written.</t>
        </is>
      </c>
      <c r="J138" s="13" t="inlineStr">
        <is>
          <t>Yes</t>
        </is>
      </c>
      <c r="K138" s="13" t="n">
        <v>40</v>
      </c>
      <c r="L138" s="13" t="n">
        <v>32</v>
      </c>
      <c r="M138" s="13" t="inlineStr">
        <is>
          <t>No</t>
        </is>
      </c>
      <c r="N138" s="13" t="inlineStr">
        <is>
          <t>No</t>
        </is>
      </c>
      <c r="O138" s="13">
        <f>IF(AND(H138="Yes",J138="Yes",M138="Yes",N138="Yes"),"Yes","No")</f>
        <v/>
      </c>
    </row>
    <row r="139" ht="15" customHeight="1" s="11">
      <c r="A139" s="13" t="inlineStr">
        <is>
          <t>Deliver</t>
        </is>
      </c>
      <c r="B139" s="13" t="inlineStr">
        <is>
          <t>solution-design-reference</t>
        </is>
      </c>
      <c r="C139" s="13" t="n">
        <v>6</v>
      </c>
      <c r="D139" s="13" t="inlineStr">
        <is>
          <t>Validation and Sign-off</t>
        </is>
      </c>
      <c r="E139" s="13" t="inlineStr">
        <is>
          <t>Section</t>
        </is>
      </c>
      <c r="F139" s="13" t="inlineStr">
        <is>
          <t>/adobe-analytics-learning/deliver/solution-design-reference/validation-and-sign-off/</t>
        </is>
      </c>
      <c r="G139" s="13" t="inlineStr">
        <is>
          <t>Analytics Implementation Validation and Sign-off</t>
        </is>
      </c>
      <c r="H139" s="13" t="inlineStr">
        <is>
          <t>Yes</t>
        </is>
      </c>
      <c r="I139" s="13" t="inlineStr">
        <is>
          <t>This section is not yet written.</t>
        </is>
      </c>
      <c r="J139" s="13" t="inlineStr">
        <is>
          <t>Yes</t>
        </is>
      </c>
      <c r="K139" s="13" t="n">
        <v>48</v>
      </c>
      <c r="L139" s="13" t="n">
        <v>32</v>
      </c>
      <c r="M139" s="13" t="inlineStr">
        <is>
          <t>No</t>
        </is>
      </c>
      <c r="N139" s="13" t="inlineStr">
        <is>
          <t>No</t>
        </is>
      </c>
      <c r="O139" s="13">
        <f>IF(AND(H139="Yes",J139="Yes",M139="Yes",N139="Yes"),"Yes","No")</f>
        <v/>
      </c>
    </row>
    <row r="140" ht="15" customHeight="1" s="11">
      <c r="A140" s="13" t="inlineStr">
        <is>
          <t>Deliver</t>
        </is>
      </c>
      <c r="B140" s="13" t="inlineStr">
        <is>
          <t>testing-debugging</t>
        </is>
      </c>
      <c r="C140" s="13" t="n"/>
      <c r="D140" s="13" t="inlineStr">
        <is>
          <t>Testing and Debugging</t>
        </is>
      </c>
      <c r="E140" s="13" t="inlineStr">
        <is>
          <t>Module landing</t>
        </is>
      </c>
      <c r="F140" s="13" t="inlineStr">
        <is>
          <t>/adobe-analytics-learning/deliver/testing-debugging/</t>
        </is>
      </c>
      <c r="G140" s="13" t="inlineStr">
        <is>
          <t>Testing and Debugging Adobe Analytics</t>
        </is>
      </c>
      <c r="H140" s="13" t="inlineStr">
        <is>
          <t>Yes</t>
        </is>
      </c>
      <c r="I140" s="13" t="inlineStr">
        <is>
          <t>Finding out whether your implementation is telling the truth. The Adobe debugger, browser tools, real-time validation, and how to read a hit.</t>
        </is>
      </c>
      <c r="J140" s="13" t="inlineStr">
        <is>
          <t>Yes</t>
        </is>
      </c>
      <c r="K140" s="13" t="n">
        <v>37</v>
      </c>
      <c r="L140" s="13" t="n">
        <v>141</v>
      </c>
      <c r="M140" s="13" t="inlineStr">
        <is>
          <t>No</t>
        </is>
      </c>
      <c r="N140" s="13" t="inlineStr">
        <is>
          <t>No</t>
        </is>
      </c>
      <c r="O140" s="13">
        <f>IF(AND(H140="Yes",J140="Yes",M140="Yes",N140="Yes"),"Yes","No")</f>
        <v/>
      </c>
    </row>
    <row r="141" ht="15" customHeight="1" s="11">
      <c r="A141" s="13" t="inlineStr">
        <is>
          <t>Deliver</t>
        </is>
      </c>
      <c r="B141" s="13" t="inlineStr">
        <is>
          <t>testing-debugging</t>
        </is>
      </c>
      <c r="C141" s="13" t="n">
        <v>1</v>
      </c>
      <c r="D141" s="13" t="inlineStr">
        <is>
          <t>Debugging Tools Overview</t>
        </is>
      </c>
      <c r="E141" s="13" t="inlineStr">
        <is>
          <t>Section</t>
        </is>
      </c>
      <c r="F141" s="13" t="inlineStr">
        <is>
          <t>/adobe-analytics-learning/deliver/testing-debugging/debugging-tools-overview/</t>
        </is>
      </c>
      <c r="G141" s="13" t="n"/>
      <c r="H141" s="13" t="inlineStr">
        <is>
          <t>No</t>
        </is>
      </c>
      <c r="I141" s="13" t="inlineStr">
        <is>
          <t>Effective debugging is crucial for ensuring accurate data collection. Adobe Analytics offers several tools to inspect, validate, and troubleshoot your …</t>
        </is>
      </c>
      <c r="J141" s="13" t="inlineStr">
        <is>
          <t>Yes</t>
        </is>
      </c>
      <c r="K141" s="13" t="n">
        <v>0</v>
      </c>
      <c r="L141" s="13" t="n">
        <v>152</v>
      </c>
      <c r="M141" s="13" t="inlineStr">
        <is>
          <t>No</t>
        </is>
      </c>
      <c r="N141" s="13" t="inlineStr">
        <is>
          <t>No</t>
        </is>
      </c>
      <c r="O141" s="13">
        <f>IF(AND(H141="Yes",J141="Yes",M141="Yes",N141="Yes"),"Yes","No")</f>
        <v/>
      </c>
    </row>
    <row r="142" ht="15" customHeight="1" s="11">
      <c r="A142" s="13" t="inlineStr">
        <is>
          <t>Deliver</t>
        </is>
      </c>
      <c r="B142" s="13" t="inlineStr">
        <is>
          <t>testing-debugging</t>
        </is>
      </c>
      <c r="C142" s="13" t="n">
        <v>2</v>
      </c>
      <c r="D142" s="13" t="inlineStr">
        <is>
          <t>Adobe Experience Platform Debugger</t>
        </is>
      </c>
      <c r="E142" s="13" t="inlineStr">
        <is>
          <t>Section</t>
        </is>
      </c>
      <c r="F142" s="13" t="inlineStr">
        <is>
          <t>/adobe-analytics-learning/deliver/testing-debugging/adobe-experience-platform-debugger/</t>
        </is>
      </c>
      <c r="G142" s="13" t="n"/>
      <c r="H142" s="13" t="inlineStr">
        <is>
          <t>No</t>
        </is>
      </c>
      <c r="I142" s="14" t="inlineStr">
        <is>
          <t>The AEP Debugger is the primary tool for inspecting Adobe Experience Cloud implementations, including Analytics, Target, and Launch.
Key Features …</t>
        </is>
      </c>
      <c r="J142" s="13" t="inlineStr">
        <is>
          <t>Yes</t>
        </is>
      </c>
      <c r="K142" s="13" t="n">
        <v>0</v>
      </c>
      <c r="L142" s="13" t="n">
        <v>147</v>
      </c>
      <c r="M142" s="13" t="inlineStr">
        <is>
          <t>No</t>
        </is>
      </c>
      <c r="N142" s="13" t="inlineStr">
        <is>
          <t>No</t>
        </is>
      </c>
      <c r="O142" s="13">
        <f>IF(AND(H142="Yes",J142="Yes",M142="Yes",N142="Yes"),"Yes","No")</f>
        <v/>
      </c>
    </row>
    <row r="143" ht="15" customHeight="1" s="11">
      <c r="A143" s="13" t="inlineStr">
        <is>
          <t>Deliver</t>
        </is>
      </c>
      <c r="B143" s="13" t="inlineStr">
        <is>
          <t>testing-debugging</t>
        </is>
      </c>
      <c r="C143" s="13" t="n">
        <v>3</v>
      </c>
      <c r="D143" s="13" t="inlineStr">
        <is>
          <t>Browser Developer Tools</t>
        </is>
      </c>
      <c r="E143" s="13" t="inlineStr">
        <is>
          <t>Section</t>
        </is>
      </c>
      <c r="F143" s="13" t="inlineStr">
        <is>
          <t>/adobe-analytics-learning/deliver/testing-debugging/browser-developer-tools/</t>
        </is>
      </c>
      <c r="G143" s="13" t="n"/>
      <c r="H143" s="13" t="inlineStr">
        <is>
          <t>No</t>
        </is>
      </c>
      <c r="I143" s="14" t="inlineStr">
        <is>
          <t>Browser DevTools provide raw access to network requests, allowing deep inspection of Analytics beacons.
Network Tab Inspection Finding Analytics …</t>
        </is>
      </c>
      <c r="J143" s="13" t="inlineStr">
        <is>
          <t>Yes</t>
        </is>
      </c>
      <c r="K143" s="13" t="n">
        <v>0</v>
      </c>
      <c r="L143" s="13" t="n">
        <v>146</v>
      </c>
      <c r="M143" s="13" t="inlineStr">
        <is>
          <t>No</t>
        </is>
      </c>
      <c r="N143" s="13" t="inlineStr">
        <is>
          <t>No</t>
        </is>
      </c>
      <c r="O143" s="13">
        <f>IF(AND(H143="Yes",J143="Yes",M143="Yes",N143="Yes"),"Yes","No")</f>
        <v/>
      </c>
    </row>
    <row r="144" ht="15" customHeight="1" s="11">
      <c r="A144" s="13" t="inlineStr">
        <is>
          <t>Deliver</t>
        </is>
      </c>
      <c r="B144" s="13" t="inlineStr">
        <is>
          <t>testing-debugging</t>
        </is>
      </c>
      <c r="C144" s="13" t="n">
        <v>4</v>
      </c>
      <c r="D144" s="13" t="inlineStr">
        <is>
          <t>Real-Time Validation</t>
        </is>
      </c>
      <c r="E144" s="13" t="inlineStr">
        <is>
          <t>Section</t>
        </is>
      </c>
      <c r="F144" s="13" t="inlineStr">
        <is>
          <t>/adobe-analytics-learning/deliver/testing-debugging/real-time-validation/</t>
        </is>
      </c>
      <c r="G144" s="13" t="n"/>
      <c r="H144" s="13" t="inlineStr">
        <is>
          <t>No</t>
        </is>
      </c>
      <c r="I144" s="14" t="inlineStr">
        <is>
          <t>Real-Time reports in Adobe Analytics show data within seconds of collection, making them ideal for implementation validation.
Using Real-Time Reports …</t>
        </is>
      </c>
      <c r="J144" s="13" t="inlineStr">
        <is>
          <t>Yes</t>
        </is>
      </c>
      <c r="K144" s="13" t="n">
        <v>0</v>
      </c>
      <c r="L144" s="13" t="n">
        <v>151</v>
      </c>
      <c r="M144" s="13" t="inlineStr">
        <is>
          <t>No</t>
        </is>
      </c>
      <c r="N144" s="13" t="inlineStr">
        <is>
          <t>No</t>
        </is>
      </c>
      <c r="O144" s="13">
        <f>IF(AND(H144="Yes",J144="Yes",M144="Yes",N144="Yes"),"Yes","No")</f>
        <v/>
      </c>
    </row>
    <row r="145" ht="15" customHeight="1" s="11">
      <c r="A145" s="13" t="inlineStr">
        <is>
          <t>Deliver</t>
        </is>
      </c>
      <c r="B145" s="13" t="inlineStr">
        <is>
          <t>testing-debugging</t>
        </is>
      </c>
      <c r="C145" s="13" t="n">
        <v>5</v>
      </c>
      <c r="D145" s="13" t="inlineStr">
        <is>
          <t>Common Issues and Solutions</t>
        </is>
      </c>
      <c r="E145" s="13" t="inlineStr">
        <is>
          <t>Section</t>
        </is>
      </c>
      <c r="F145" s="13" t="inlineStr">
        <is>
          <t>/adobe-analytics-learning/deliver/testing-debugging/common-issues-solutions/</t>
        </is>
      </c>
      <c r="G145" s="13" t="inlineStr">
        <is>
          <t>Common Adobe Analytics Issues and Fixes</t>
        </is>
      </c>
      <c r="H145" s="13" t="inlineStr">
        <is>
          <t>Yes</t>
        </is>
      </c>
      <c r="I145" s="14" t="inlineStr">
        <is>
          <t>Learn to quickly diagnose and resolve the most frequent implementation problems.
Troubleshooting Guide SymptomPossible CausesSolution No data at …</t>
        </is>
      </c>
      <c r="J145" s="13" t="inlineStr">
        <is>
          <t>Yes</t>
        </is>
      </c>
      <c r="K145" s="13" t="n">
        <v>39</v>
      </c>
      <c r="L145" s="13" t="n">
        <v>146</v>
      </c>
      <c r="M145" s="13" t="inlineStr">
        <is>
          <t>No</t>
        </is>
      </c>
      <c r="N145" s="13" t="inlineStr">
        <is>
          <t>No</t>
        </is>
      </c>
      <c r="O145" s="13">
        <f>IF(AND(H145="Yes",J145="Yes",M145="Yes",N145="Yes"),"Yes","No")</f>
        <v/>
      </c>
    </row>
  </sheetData>
  <autoFilter ref="A1:O1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" min="1" max="1"/>
    <col width="15" customWidth="1" style="10" min="2" max="6"/>
  </cols>
  <sheetData>
    <row r="1" ht="16.15" customHeight="1" s="11">
      <c r="A1" s="15" t="inlineStr">
        <is>
          <t>Adobe Analytics Learning — Completion Tracker</t>
        </is>
      </c>
      <c r="B1" s="16" t="n"/>
      <c r="C1" s="16" t="n"/>
      <c r="D1" s="16" t="n"/>
      <c r="E1" s="16" t="n"/>
      <c r="F1" s="16" t="n"/>
    </row>
    <row r="2" ht="15" customHeight="1" s="11">
      <c r="A2" s="17" t="inlineStr">
        <is>
          <t>Generated from the live build. 144 real pages (alias/redirect stubs excluded). Content-complete = the 66 sections in the 12 modules through Segments. Regenerate at each module sign-off.</t>
        </is>
      </c>
      <c r="B2" s="16" t="n"/>
      <c r="C2" s="16" t="n"/>
      <c r="D2" s="16" t="n"/>
      <c r="E2" s="16" t="n"/>
      <c r="F2" s="16" t="n"/>
    </row>
    <row r="3" ht="15" customHeight="1" s="11">
      <c r="A3" s="16" t="n"/>
      <c r="B3" s="16" t="n"/>
      <c r="C3" s="16" t="n"/>
      <c r="D3" s="16" t="n"/>
      <c r="E3" s="16" t="n"/>
      <c r="F3" s="16" t="n"/>
    </row>
    <row r="4" ht="15" customHeight="1" s="11">
      <c r="A4" s="18" t="inlineStr">
        <is>
          <t>Metric</t>
        </is>
      </c>
      <c r="B4" s="18" t="inlineStr">
        <is>
          <t>Done</t>
        </is>
      </c>
      <c r="C4" s="18" t="inlineStr">
        <is>
          <t>Total</t>
        </is>
      </c>
      <c r="D4" s="18" t="inlineStr">
        <is>
          <t>Percent</t>
        </is>
      </c>
      <c r="E4" s="16" t="n"/>
      <c r="F4" s="16" t="n"/>
    </row>
    <row r="5" ht="15" customHeight="1" s="11">
      <c r="A5" s="16" t="inlineStr">
        <is>
          <t>SEO title complete</t>
        </is>
      </c>
      <c r="B5" s="16">
        <f>COUNTIF(Pages!H2:H145,"Yes")</f>
        <v/>
      </c>
      <c r="C5" s="16" t="n">
        <v>144</v>
      </c>
      <c r="D5" s="19">
        <f>B5/C5</f>
        <v/>
      </c>
      <c r="E5" s="16" t="n"/>
      <c r="F5" s="16" t="n"/>
    </row>
    <row r="6" ht="15" customHeight="1" s="11">
      <c r="A6" s="16" t="inlineStr">
        <is>
          <t>SEO description complete</t>
        </is>
      </c>
      <c r="B6" s="16">
        <f>COUNTIF(Pages!J2:J145,"Yes")</f>
        <v/>
      </c>
      <c r="C6" s="16" t="n">
        <v>144</v>
      </c>
      <c r="D6" s="19">
        <f>B6/C6</f>
        <v/>
      </c>
      <c r="E6" s="16" t="n"/>
      <c r="F6" s="16" t="n"/>
    </row>
    <row r="7" ht="15" customHeight="1" s="11">
      <c r="A7" s="16" t="inlineStr">
        <is>
          <t>Content created</t>
        </is>
      </c>
      <c r="B7" s="16">
        <f>COUNTIF(Pages!M2:M145,"Yes")</f>
        <v/>
      </c>
      <c r="C7" s="16" t="n">
        <v>144</v>
      </c>
      <c r="D7" s="19">
        <f>B7/C7</f>
        <v/>
      </c>
      <c r="E7" s="16" t="n"/>
      <c r="F7" s="16" t="n"/>
    </row>
    <row r="8" ht="15" customHeight="1" s="11">
      <c r="A8" s="16" t="inlineStr">
        <is>
          <t>Content QA'd (approved)</t>
        </is>
      </c>
      <c r="B8" s="16">
        <f>COUNTIF(Pages!N2:N145,"Yes")</f>
        <v/>
      </c>
      <c r="C8" s="16" t="n">
        <v>144</v>
      </c>
      <c r="D8" s="19">
        <f>B8/C8</f>
        <v/>
      </c>
      <c r="E8" s="16" t="n"/>
      <c r="F8" s="16" t="n"/>
    </row>
    <row r="9" ht="15" customHeight="1" s="11">
      <c r="A9" s="16" t="inlineStr">
        <is>
          <t>Final result (fully done)</t>
        </is>
      </c>
      <c r="B9" s="16">
        <f>COUNTIF(Pages!O2:O145,"Yes")</f>
        <v/>
      </c>
      <c r="C9" s="16" t="n">
        <v>144</v>
      </c>
      <c r="D9" s="19">
        <f>B9/C9</f>
        <v/>
      </c>
      <c r="E9" s="16" t="n"/>
      <c r="F9" s="16" t="n"/>
    </row>
    <row r="10" ht="15" customHeight="1" s="11">
      <c r="A10" s="16" t="n"/>
      <c r="B10" s="16" t="n"/>
      <c r="C10" s="16" t="n"/>
      <c r="D10" s="16" t="n"/>
      <c r="E10" s="16" t="n"/>
      <c r="F10" s="16" t="n"/>
    </row>
    <row r="11" ht="15" customHeight="1" s="11">
      <c r="A11" s="20" t="inlineStr">
        <is>
          <t>Per phase (all page types)</t>
        </is>
      </c>
      <c r="B11" s="16" t="n"/>
      <c r="C11" s="16" t="n"/>
      <c r="D11" s="16" t="n"/>
      <c r="E11" s="16" t="n"/>
      <c r="F11" s="16" t="n"/>
    </row>
    <row r="12" ht="15" customHeight="1" s="11">
      <c r="A12" s="18" t="inlineStr">
        <is>
          <t>Phase</t>
        </is>
      </c>
      <c r="B12" s="18" t="inlineStr">
        <is>
          <t>Pages</t>
        </is>
      </c>
      <c r="C12" s="18" t="inlineStr">
        <is>
          <t>Content created</t>
        </is>
      </c>
      <c r="D12" s="18" t="inlineStr">
        <is>
          <t>QA'd</t>
        </is>
      </c>
      <c r="E12" s="18" t="inlineStr">
        <is>
          <t>Fully done</t>
        </is>
      </c>
      <c r="F12" s="18" t="inlineStr">
        <is>
          <t>Done %</t>
        </is>
      </c>
    </row>
    <row r="13" ht="15" customHeight="1" s="11">
      <c r="A13" s="16" t="inlineStr">
        <is>
          <t>Foundations</t>
        </is>
      </c>
      <c r="B13" s="16">
        <f>COUNTIF(Pages!A2:A145,"Foundations")</f>
        <v/>
      </c>
      <c r="C13" s="16">
        <f>COUNTIFS(Pages!A2:A145,"Foundations",Pages!M2:M145,"Yes")</f>
        <v/>
      </c>
      <c r="D13" s="16">
        <f>COUNTIFS(Pages!A2:A145,"Foundations",Pages!N2:N145,"Yes")</f>
        <v/>
      </c>
      <c r="E13" s="16">
        <f>COUNTIFS(Pages!A2:A145,"Foundations",Pages!O2:O145,"Yes")</f>
        <v/>
      </c>
      <c r="F13" s="19">
        <f>IF(B13=0,0,E13/B13)</f>
        <v/>
      </c>
    </row>
    <row r="14" ht="15" customHeight="1" s="11">
      <c r="A14" s="16" t="inlineStr">
        <is>
          <t>Collect</t>
        </is>
      </c>
      <c r="B14" s="16">
        <f>COUNTIF(Pages!A2:A145,"Collect")</f>
        <v/>
      </c>
      <c r="C14" s="16">
        <f>COUNTIFS(Pages!A2:A145,"Collect",Pages!M2:M145,"Yes")</f>
        <v/>
      </c>
      <c r="D14" s="16">
        <f>COUNTIFS(Pages!A2:A145,"Collect",Pages!N2:N145,"Yes")</f>
        <v/>
      </c>
      <c r="E14" s="16">
        <f>COUNTIFS(Pages!A2:A145,"Collect",Pages!O2:O145,"Yes")</f>
        <v/>
      </c>
      <c r="F14" s="19">
        <f>IF(B14=0,0,E14/B14)</f>
        <v/>
      </c>
    </row>
    <row r="15" ht="15" customHeight="1" s="11">
      <c r="A15" s="16" t="inlineStr">
        <is>
          <t>Shape</t>
        </is>
      </c>
      <c r="B15" s="16">
        <f>COUNTIF(Pages!A2:A145,"Shape")</f>
        <v/>
      </c>
      <c r="C15" s="16">
        <f>COUNTIFS(Pages!A2:A145,"Shape",Pages!M2:M145,"Yes")</f>
        <v/>
      </c>
      <c r="D15" s="16">
        <f>COUNTIFS(Pages!A2:A145,"Shape",Pages!N2:N145,"Yes")</f>
        <v/>
      </c>
      <c r="E15" s="16">
        <f>COUNTIFS(Pages!A2:A145,"Shape",Pages!O2:O145,"Yes")</f>
        <v/>
      </c>
      <c r="F15" s="19">
        <f>IF(B15=0,0,E15/B15)</f>
        <v/>
      </c>
    </row>
    <row r="16" ht="15" customHeight="1" s="11">
      <c r="A16" s="16" t="inlineStr">
        <is>
          <t>Analyze</t>
        </is>
      </c>
      <c r="B16" s="16">
        <f>COUNTIF(Pages!A2:A145,"Analyze")</f>
        <v/>
      </c>
      <c r="C16" s="16">
        <f>COUNTIFS(Pages!A2:A145,"Analyze",Pages!M2:M145,"Yes")</f>
        <v/>
      </c>
      <c r="D16" s="16">
        <f>COUNTIFS(Pages!A2:A145,"Analyze",Pages!N2:N145,"Yes")</f>
        <v/>
      </c>
      <c r="E16" s="16">
        <f>COUNTIFS(Pages!A2:A145,"Analyze",Pages!O2:O145,"Yes")</f>
        <v/>
      </c>
      <c r="F16" s="19">
        <f>IF(B16=0,0,E16/B16)</f>
        <v/>
      </c>
    </row>
    <row r="17" ht="15" customHeight="1" s="11">
      <c r="A17" s="16" t="inlineStr">
        <is>
          <t>Deliver</t>
        </is>
      </c>
      <c r="B17" s="16">
        <f>COUNTIF(Pages!A2:A145,"Deliver")</f>
        <v/>
      </c>
      <c r="C17" s="16">
        <f>COUNTIFS(Pages!A2:A145,"Deliver",Pages!M2:M145,"Yes")</f>
        <v/>
      </c>
      <c r="D17" s="16">
        <f>COUNTIFS(Pages!A2:A145,"Deliver",Pages!N2:N145,"Yes")</f>
        <v/>
      </c>
      <c r="E17" s="16">
        <f>COUNTIFS(Pages!A2:A145,"Deliver",Pages!O2:O145,"Yes")</f>
        <v/>
      </c>
      <c r="F17" s="19">
        <f>IF(B17=0,0,E17/B17)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2026-07-21T19:35:58Z</dcterms:created>
  <dcterms:modified xmlns:dcterms="http://purl.org/dc/terms/" xmlns:xsi="http://www.w3.org/2001/XMLSchema-instance" xsi:type="dcterms:W3CDTF">2026-07-26T22:12:09Z</dcterms:modified>
  <cp:revision>0</cp:revision>
</cp:coreProperties>
</file>